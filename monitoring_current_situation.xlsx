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15897FC5-552E-4F8B-8257-A20FE83534E4}" xr6:coauthVersionLast="47" xr6:coauthVersionMax="47" xr10:uidLastSave="{00000000-0000-0000-0000-000000000000}"/>
  <bookViews>
    <workbookView xWindow="-108" yWindow="-108" windowWidth="23256" windowHeight="12456" tabRatio="708" xr2:uid="{00000000-000D-0000-FFFF-FFFF00000000}"/>
  </bookViews>
  <sheets>
    <sheet name="sheet1" sheetId="22" r:id="rId1"/>
  </sheets>
  <definedNames>
    <definedName name="_xlnm._FilterDatabase" localSheetId="0" hidden="1">sheet1!$A$1:$AG$285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285" i="22" l="1"/>
  <c r="I2" i="22"/>
  <c r="I205" i="22"/>
  <c r="I180" i="22"/>
  <c r="I260" i="22"/>
  <c r="I91" i="22"/>
  <c r="I262" i="22"/>
  <c r="I6" i="22"/>
  <c r="I255" i="22"/>
  <c r="I38" i="22"/>
  <c r="I7" i="22"/>
  <c r="I48" i="22"/>
  <c r="I256" i="22"/>
  <c r="I8" i="22"/>
  <c r="I22" i="22"/>
  <c r="I249" i="22"/>
  <c r="I263" i="22"/>
  <c r="I257" i="22"/>
  <c r="I264" i="22"/>
  <c r="I251" i="22"/>
  <c r="I250" i="22"/>
  <c r="I254" i="22"/>
  <c r="I258" i="22"/>
  <c r="I14" i="22"/>
  <c r="I265" i="22"/>
  <c r="I3" i="22"/>
  <c r="I252" i="22"/>
  <c r="I266" i="22"/>
  <c r="I4" i="22"/>
  <c r="I9" i="22"/>
  <c r="I113" i="22"/>
  <c r="I248" i="22"/>
  <c r="I5" i="22"/>
  <c r="I275" i="22"/>
  <c r="I276" i="22"/>
  <c r="I185" i="22"/>
  <c r="I284" i="22"/>
  <c r="I277" i="22"/>
  <c r="I10" i="22"/>
  <c r="I183" i="22"/>
  <c r="I21" i="22"/>
  <c r="I253" i="22"/>
  <c r="I19" i="22"/>
  <c r="I267" i="22"/>
  <c r="I268" i="22"/>
  <c r="I11" i="22"/>
  <c r="I278" i="22"/>
  <c r="I12" i="22"/>
  <c r="I39" i="22"/>
  <c r="I279" i="22"/>
  <c r="I282" i="22"/>
  <c r="I261" i="22"/>
  <c r="I280" i="22"/>
  <c r="I13" i="22"/>
  <c r="I259" i="22"/>
  <c r="I269" i="22"/>
  <c r="I281" i="22"/>
  <c r="I270" i="22"/>
  <c r="I283" i="22"/>
  <c r="I271" i="22"/>
  <c r="I15" i="22"/>
  <c r="I272" i="22"/>
  <c r="I273" i="22"/>
  <c r="I274" i="22"/>
  <c r="I16" i="22"/>
  <c r="I26" i="22"/>
  <c r="I36" i="22"/>
  <c r="I17" i="22"/>
  <c r="I28" i="22"/>
  <c r="I29" i="22"/>
  <c r="I25" i="22"/>
  <c r="I32" i="22"/>
  <c r="I27" i="22"/>
  <c r="I122" i="22"/>
  <c r="I20" i="22"/>
  <c r="I41" i="22"/>
  <c r="I34" i="22"/>
  <c r="I33" i="22"/>
  <c r="I23" i="22"/>
  <c r="I24" i="22"/>
  <c r="I35" i="22"/>
  <c r="I156" i="22"/>
  <c r="I31" i="22"/>
  <c r="I65" i="22"/>
  <c r="I46" i="22"/>
  <c r="I44" i="22"/>
  <c r="I37" i="22"/>
  <c r="I66" i="22"/>
  <c r="I67" i="22"/>
  <c r="I50" i="22"/>
  <c r="I40" i="22"/>
  <c r="I51" i="22"/>
  <c r="I43" i="22"/>
  <c r="I42" i="22"/>
  <c r="I52" i="22"/>
  <c r="I60" i="22"/>
  <c r="I78" i="22"/>
  <c r="I58" i="22"/>
  <c r="I57" i="22"/>
  <c r="I45" i="22"/>
  <c r="I62" i="22"/>
  <c r="I115" i="22"/>
  <c r="I63" i="22"/>
  <c r="I55" i="22"/>
  <c r="I64" i="22"/>
  <c r="I49" i="22"/>
  <c r="I54" i="22"/>
  <c r="I53" i="22"/>
  <c r="I56" i="22"/>
  <c r="I61" i="22"/>
  <c r="I59" i="22"/>
  <c r="I70" i="22"/>
  <c r="I68" i="22"/>
  <c r="I103" i="22"/>
  <c r="I69" i="22"/>
  <c r="S121" i="22"/>
  <c r="A3" i="22" l="1"/>
  <c r="A4" i="22" s="1"/>
  <c r="A5" i="22" s="1"/>
  <c r="A6" i="22" s="1"/>
  <c r="A7" i="22" s="1"/>
  <c r="A8" i="22" s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A36" i="22" s="1"/>
  <c r="A37" i="22" s="1"/>
  <c r="A38" i="22" s="1"/>
  <c r="A39" i="22" s="1"/>
  <c r="A40" i="22" s="1"/>
  <c r="A41" i="22" s="1"/>
  <c r="A42" i="22" s="1"/>
  <c r="A43" i="22" s="1"/>
  <c r="A44" i="22" s="1"/>
  <c r="A45" i="22" s="1"/>
  <c r="A46" i="22" s="1"/>
  <c r="A47" i="22" s="1"/>
  <c r="A48" i="22" s="1"/>
  <c r="A49" i="22" s="1"/>
  <c r="A50" i="22" s="1"/>
  <c r="A51" i="22" s="1"/>
  <c r="A52" i="22" s="1"/>
  <c r="A53" i="22" s="1"/>
  <c r="A54" i="22" s="1"/>
  <c r="A55" i="22" s="1"/>
  <c r="A56" i="22" s="1"/>
  <c r="A57" i="22" s="1"/>
  <c r="A58" i="22" s="1"/>
  <c r="A59" i="22" s="1"/>
  <c r="A60" i="22" s="1"/>
  <c r="A61" i="22" s="1"/>
  <c r="A62" i="22" s="1"/>
  <c r="A63" i="22" s="1"/>
  <c r="A64" i="22" s="1"/>
  <c r="A65" i="22" s="1"/>
  <c r="A66" i="22" s="1"/>
  <c r="A67" i="22" s="1"/>
  <c r="A68" i="22" s="1"/>
  <c r="A69" i="22" s="1"/>
  <c r="A70" i="22" s="1"/>
  <c r="A71" i="22" s="1"/>
  <c r="A72" i="22" s="1"/>
  <c r="A73" i="22" s="1"/>
  <c r="A74" i="22" s="1"/>
  <c r="A75" i="22" s="1"/>
  <c r="A76" i="22" s="1"/>
  <c r="A77" i="22" s="1"/>
  <c r="A78" i="22" s="1"/>
  <c r="A79" i="22" s="1"/>
  <c r="A80" i="22" s="1"/>
  <c r="A81" i="22" s="1"/>
  <c r="A82" i="22" s="1"/>
  <c r="A83" i="22" s="1"/>
  <c r="A84" i="22" s="1"/>
  <c r="A85" i="22" s="1"/>
  <c r="A86" i="22" s="1"/>
  <c r="A87" i="22" s="1"/>
  <c r="A88" i="22" s="1"/>
  <c r="A89" i="22" s="1"/>
  <c r="A90" i="22" s="1"/>
  <c r="A91" i="22" s="1"/>
  <c r="A92" i="22" s="1"/>
  <c r="A93" i="22" s="1"/>
  <c r="A94" i="22" s="1"/>
  <c r="A95" i="22" s="1"/>
  <c r="A96" i="22" s="1"/>
  <c r="A97" i="22" s="1"/>
  <c r="A98" i="22" s="1"/>
  <c r="A99" i="22" s="1"/>
  <c r="A100" i="22" s="1"/>
  <c r="A101" i="22" s="1"/>
  <c r="A102" i="22" s="1"/>
  <c r="A103" i="22" s="1"/>
  <c r="A104" i="22" s="1"/>
  <c r="A105" i="22" s="1"/>
  <c r="A106" i="22" s="1"/>
  <c r="A107" i="22" s="1"/>
  <c r="A108" i="22" s="1"/>
  <c r="A109" i="22" s="1"/>
  <c r="A110" i="22" s="1"/>
  <c r="A111" i="22" s="1"/>
  <c r="A112" i="22" s="1"/>
  <c r="A113" i="22" s="1"/>
  <c r="A114" i="22" s="1"/>
  <c r="A115" i="22" s="1"/>
  <c r="A116" i="22" s="1"/>
  <c r="A117" i="22" s="1"/>
  <c r="A118" i="22" s="1"/>
  <c r="A119" i="22" s="1"/>
  <c r="A120" i="22" s="1"/>
  <c r="A121" i="22" s="1"/>
  <c r="A122" i="22" s="1"/>
  <c r="A123" i="22" s="1"/>
  <c r="A124" i="22" s="1"/>
  <c r="A125" i="22" s="1"/>
  <c r="A126" i="22" s="1"/>
  <c r="A127" i="22" s="1"/>
  <c r="A128" i="22" s="1"/>
  <c r="A129" i="22" s="1"/>
  <c r="A130" i="22" s="1"/>
  <c r="A131" i="22" s="1"/>
  <c r="A132" i="22" s="1"/>
  <c r="A133" i="22" s="1"/>
  <c r="A134" i="22" s="1"/>
  <c r="A135" i="22" s="1"/>
  <c r="A136" i="22" s="1"/>
  <c r="A137" i="22" s="1"/>
  <c r="A138" i="22" s="1"/>
  <c r="A139" i="22" s="1"/>
  <c r="A140" i="22" s="1"/>
  <c r="A141" i="22" s="1"/>
  <c r="A142" i="22" s="1"/>
  <c r="A143" i="22" s="1"/>
  <c r="A144" i="22" s="1"/>
  <c r="A145" i="22" s="1"/>
  <c r="A146" i="22" s="1"/>
  <c r="A147" i="22" s="1"/>
  <c r="A148" i="22" s="1"/>
  <c r="A149" i="22" s="1"/>
  <c r="A150" i="22" s="1"/>
  <c r="A151" i="22" s="1"/>
  <c r="A152" i="22" s="1"/>
  <c r="A153" i="22" s="1"/>
  <c r="A154" i="22" s="1"/>
  <c r="A155" i="22" s="1"/>
  <c r="A156" i="22" s="1"/>
  <c r="A157" i="22" s="1"/>
  <c r="A158" i="22" s="1"/>
  <c r="A159" i="22" s="1"/>
  <c r="A160" i="22" s="1"/>
  <c r="A161" i="22" s="1"/>
  <c r="A162" i="22" s="1"/>
  <c r="A163" i="22" s="1"/>
  <c r="A164" i="22" s="1"/>
  <c r="A165" i="22" s="1"/>
  <c r="A166" i="22" s="1"/>
  <c r="A167" i="22" s="1"/>
  <c r="A168" i="22" s="1"/>
  <c r="A169" i="22" s="1"/>
  <c r="A170" i="22" s="1"/>
  <c r="A171" i="22" s="1"/>
  <c r="A172" i="22" s="1"/>
  <c r="A173" i="22" s="1"/>
  <c r="A174" i="22" s="1"/>
  <c r="A175" i="22" s="1"/>
  <c r="A176" i="22" s="1"/>
  <c r="A177" i="22" s="1"/>
  <c r="A178" i="22" s="1"/>
  <c r="A179" i="22" s="1"/>
  <c r="A180" i="22" s="1"/>
  <c r="A181" i="22" s="1"/>
  <c r="A182" i="22" s="1"/>
  <c r="A183" i="22" s="1"/>
  <c r="A184" i="22" s="1"/>
  <c r="A185" i="22" s="1"/>
  <c r="A186" i="22" s="1"/>
  <c r="A187" i="22" s="1"/>
  <c r="A188" i="22" s="1"/>
  <c r="A189" i="22" s="1"/>
  <c r="A190" i="22" s="1"/>
  <c r="A191" i="22" s="1"/>
  <c r="A192" i="22" s="1"/>
  <c r="A193" i="22" s="1"/>
  <c r="A194" i="22" s="1"/>
  <c r="A195" i="22" s="1"/>
  <c r="A196" i="22" s="1"/>
  <c r="A197" i="22" s="1"/>
  <c r="A198" i="22" s="1"/>
  <c r="A199" i="22" s="1"/>
  <c r="A200" i="22" s="1"/>
  <c r="A201" i="22" s="1"/>
  <c r="A202" i="22" s="1"/>
  <c r="A203" i="22" s="1"/>
  <c r="A204" i="22" s="1"/>
  <c r="A205" i="22" s="1"/>
  <c r="A206" i="22" s="1"/>
  <c r="A207" i="22" s="1"/>
  <c r="A208" i="22" s="1"/>
  <c r="A209" i="22" s="1"/>
  <c r="A210" i="22" s="1"/>
  <c r="A211" i="22" s="1"/>
  <c r="A212" i="22" s="1"/>
  <c r="A213" i="22" s="1"/>
  <c r="A214" i="22" s="1"/>
  <c r="A215" i="22" s="1"/>
  <c r="A216" i="22" s="1"/>
  <c r="A217" i="22" s="1"/>
  <c r="A218" i="22" s="1"/>
  <c r="A219" i="22" s="1"/>
  <c r="A220" i="22" s="1"/>
  <c r="A221" i="22" s="1"/>
  <c r="A222" i="22" s="1"/>
  <c r="A223" i="22" s="1"/>
  <c r="A224" i="22" s="1"/>
  <c r="A225" i="22" s="1"/>
  <c r="A226" i="22" s="1"/>
  <c r="A227" i="22" s="1"/>
  <c r="A228" i="22" s="1"/>
  <c r="A229" i="22" s="1"/>
  <c r="A230" i="22" s="1"/>
  <c r="A231" i="22" s="1"/>
  <c r="A232" i="22" s="1"/>
  <c r="A233" i="22" s="1"/>
  <c r="A234" i="22" s="1"/>
  <c r="A235" i="22" s="1"/>
  <c r="A236" i="22" s="1"/>
  <c r="A237" i="22" s="1"/>
  <c r="A238" i="22" s="1"/>
  <c r="A239" i="22" s="1"/>
  <c r="A240" i="22" s="1"/>
  <c r="A241" i="22" s="1"/>
  <c r="A242" i="22" s="1"/>
  <c r="A243" i="22" s="1"/>
  <c r="A244" i="22" s="1"/>
  <c r="A245" i="22" s="1"/>
  <c r="A246" i="22" s="1"/>
  <c r="A247" i="22" s="1"/>
  <c r="A248" i="22" s="1"/>
  <c r="A249" i="22" s="1"/>
  <c r="A250" i="22" s="1"/>
  <c r="A251" i="22" s="1"/>
  <c r="A252" i="22" s="1"/>
  <c r="A253" i="22" s="1"/>
  <c r="A254" i="22" s="1"/>
  <c r="A255" i="22" s="1"/>
  <c r="A256" i="22" s="1"/>
  <c r="A257" i="22" s="1"/>
  <c r="A258" i="22" s="1"/>
  <c r="A259" i="22" s="1"/>
  <c r="A260" i="22" s="1"/>
  <c r="A261" i="22" s="1"/>
  <c r="A262" i="22" s="1"/>
  <c r="A263" i="22" s="1"/>
  <c r="A264" i="22" s="1"/>
  <c r="A265" i="22" s="1"/>
  <c r="A266" i="22" s="1"/>
  <c r="A267" i="22" s="1"/>
  <c r="A268" i="22" s="1"/>
  <c r="A269" i="22" s="1"/>
  <c r="A270" i="22" s="1"/>
  <c r="A271" i="22" s="1"/>
  <c r="A272" i="22" s="1"/>
  <c r="A273" i="22" s="1"/>
  <c r="A274" i="22" s="1"/>
  <c r="A275" i="22" s="1"/>
  <c r="A276" i="22" s="1"/>
  <c r="A277" i="22" s="1"/>
  <c r="A278" i="22" s="1"/>
  <c r="A279" i="22" s="1"/>
  <c r="A280" i="22" s="1"/>
  <c r="A281" i="22" s="1"/>
  <c r="A282" i="22" s="1"/>
  <c r="A283" i="22" s="1"/>
  <c r="A284" i="22" s="1"/>
</calcChain>
</file>

<file path=xl/sharedStrings.xml><?xml version="1.0" encoding="utf-8"?>
<sst xmlns="http://schemas.openxmlformats.org/spreadsheetml/2006/main" count="6392" uniqueCount="2511">
  <si>
    <t>공급방식</t>
  </si>
  <si>
    <t>업소번호</t>
  </si>
  <si>
    <t>관할지사</t>
  </si>
  <si>
    <t>시공사</t>
  </si>
  <si>
    <t>튜브트레일러</t>
  </si>
  <si>
    <t>경기동부</t>
  </si>
  <si>
    <t>인천본부</t>
  </si>
  <si>
    <t>경기본부</t>
  </si>
  <si>
    <t>울산본부</t>
  </si>
  <si>
    <t>에어리퀴드</t>
  </si>
  <si>
    <t>서울본부</t>
  </si>
  <si>
    <t>서울서부</t>
  </si>
  <si>
    <t>KIER</t>
  </si>
  <si>
    <t>이엠솔루션</t>
  </si>
  <si>
    <t>광주그린카진흥원</t>
  </si>
  <si>
    <t>충남테크노파크</t>
  </si>
  <si>
    <t>충남본부</t>
  </si>
  <si>
    <t>창원산업진흥원</t>
  </si>
  <si>
    <t>경남본부</t>
  </si>
  <si>
    <t>한국도로공사</t>
  </si>
  <si>
    <t>엔케이텍</t>
  </si>
  <si>
    <t>부산본부</t>
  </si>
  <si>
    <t>대전본부</t>
  </si>
  <si>
    <t>경기 화성 송산면 삼존로 200</t>
  </si>
  <si>
    <t>서울 마포구 하늘공원로 86</t>
  </si>
  <si>
    <t>광주 광산구 진곡산단중앙로 55</t>
  </si>
  <si>
    <t>충남 홍성군 홍북면 용봉로 234</t>
  </si>
  <si>
    <t>경남 창원 의창구 창원대로18번길 46</t>
  </si>
  <si>
    <t>울산 남구 남부순환도로 465</t>
  </si>
  <si>
    <t>대구 달성군 국가산단서로 201</t>
  </si>
  <si>
    <t>광주 광산구 동곡로 326(복룡동)</t>
  </si>
  <si>
    <t>울산 북구 북부순환도로 1165</t>
  </si>
  <si>
    <t>울산 울주군 웅촌면 웅촌로 490</t>
  </si>
  <si>
    <t>경기 안성 경부고속도로 365</t>
  </si>
  <si>
    <t>울산 울주군 온산읍 온산로 256</t>
  </si>
  <si>
    <t>경기 여주 여주남로 722(영동고속도로)</t>
  </si>
  <si>
    <t>부산 강서구 송정동 803-3번지외1필지</t>
  </si>
  <si>
    <t>현대모비스(주)</t>
  </si>
  <si>
    <t>충북 충주시 대소원면 기업도시1로 47</t>
  </si>
  <si>
    <t>경기 용인 기흥 마북로240번길 17-5(마북동)</t>
    <phoneticPr fontId="1" type="noConversion"/>
  </si>
  <si>
    <t>에어리퀴드</t>
    <phoneticPr fontId="1" type="noConversion"/>
  </si>
  <si>
    <t>비고</t>
    <phoneticPr fontId="1" type="noConversion"/>
  </si>
  <si>
    <t>한국도로공사</t>
    <phoneticPr fontId="1" type="noConversion"/>
  </si>
  <si>
    <t>충전소명</t>
    <phoneticPr fontId="1" type="noConversion"/>
  </si>
  <si>
    <t>02238450</t>
    <phoneticPr fontId="1" type="noConversion"/>
  </si>
  <si>
    <t>02274192</t>
    <phoneticPr fontId="1" type="noConversion"/>
  </si>
  <si>
    <t>성주(양평) 수소충전소</t>
    <phoneticPr fontId="1" type="noConversion"/>
  </si>
  <si>
    <t>경북 성주군 초전면 중부내륙고속도로 98</t>
    <phoneticPr fontId="1" type="noConversion"/>
  </si>
  <si>
    <t>언양(서울) 수소충전소</t>
    <phoneticPr fontId="1" type="noConversion"/>
  </si>
  <si>
    <t>울산 울주군 언양읍 경부고속도로 44</t>
    <phoneticPr fontId="1" type="noConversion"/>
  </si>
  <si>
    <t>02254651</t>
    <phoneticPr fontId="1" type="noConversion"/>
  </si>
  <si>
    <t>울산본부</t>
    <phoneticPr fontId="1" type="noConversion"/>
  </si>
  <si>
    <t>전남 장성군 북일면 호남고속도로 108-1</t>
    <phoneticPr fontId="1" type="noConversion"/>
  </si>
  <si>
    <t>튜브트레일러</t>
    <phoneticPr fontId="1" type="noConversion"/>
  </si>
  <si>
    <t>700</t>
    <phoneticPr fontId="1" type="noConversion"/>
  </si>
  <si>
    <t>경남본부</t>
    <phoneticPr fontId="1" type="noConversion"/>
  </si>
  <si>
    <t>충북북부</t>
    <phoneticPr fontId="1" type="noConversion"/>
  </si>
  <si>
    <t>부산본부</t>
    <phoneticPr fontId="1" type="noConversion"/>
  </si>
  <si>
    <t>서울 영등포구 의사당대로 1</t>
    <phoneticPr fontId="1" type="noConversion"/>
  </si>
  <si>
    <t>서울남부</t>
    <phoneticPr fontId="1" type="noConversion"/>
  </si>
  <si>
    <t>경남 함안군 군북면 현포로 205</t>
    <phoneticPr fontId="1" type="noConversion"/>
  </si>
  <si>
    <t>부산 사상구 학감대로 167</t>
    <phoneticPr fontId="1" type="noConversion"/>
  </si>
  <si>
    <t>한국도로공사 안성(부산)휴게소</t>
    <phoneticPr fontId="1" type="noConversion"/>
  </si>
  <si>
    <t>대보유통㈜ 안성(서울)주유소</t>
    <phoneticPr fontId="1" type="noConversion"/>
  </si>
  <si>
    <t>그린주유소 수소복합충전소</t>
    <phoneticPr fontId="1" type="noConversion"/>
  </si>
  <si>
    <t>용도</t>
    <phoneticPr fontId="1" type="noConversion"/>
  </si>
  <si>
    <t>융복합여부</t>
    <phoneticPr fontId="1" type="noConversion"/>
  </si>
  <si>
    <t>700</t>
  </si>
  <si>
    <t>350/700</t>
    <phoneticPr fontId="1" type="noConversion"/>
  </si>
  <si>
    <t>상업용</t>
    <phoneticPr fontId="1" type="noConversion"/>
  </si>
  <si>
    <t>제조사</t>
    <phoneticPr fontId="1" type="noConversion"/>
  </si>
  <si>
    <t>대전 동구 대성동 206-1,179</t>
  </si>
  <si>
    <t>넬코리아</t>
  </si>
  <si>
    <t>광주 남구 임암동 675</t>
  </si>
  <si>
    <t>인천 중구 운서동 2848-6</t>
  </si>
  <si>
    <t>충북 충주시 연수동 315-6</t>
  </si>
  <si>
    <t>충북북부</t>
  </si>
  <si>
    <t>상업용</t>
  </si>
  <si>
    <t>현대자동차 울산공장 52라인 수소충전소</t>
    <phoneticPr fontId="1" type="noConversion"/>
  </si>
  <si>
    <t>(합자)도원주유소 수소충전소</t>
    <phoneticPr fontId="1" type="noConversion"/>
  </si>
  <si>
    <t>충북본부</t>
    <phoneticPr fontId="1" type="noConversion"/>
  </si>
  <si>
    <t>서울본부</t>
    <phoneticPr fontId="1" type="noConversion"/>
  </si>
  <si>
    <t>전북 전주시 덕진구 송천동2가 1186-2,1190,1191</t>
    <phoneticPr fontId="1" type="noConversion"/>
  </si>
  <si>
    <t>LPG복합</t>
    <phoneticPr fontId="1" type="noConversion"/>
  </si>
  <si>
    <t>02314451</t>
    <phoneticPr fontId="1" type="noConversion"/>
  </si>
  <si>
    <t>전북 완주군 봉동읍 둔산리 951-6</t>
    <phoneticPr fontId="1" type="noConversion"/>
  </si>
  <si>
    <t>전북본부</t>
    <phoneticPr fontId="1" type="noConversion"/>
  </si>
  <si>
    <t>충북 음성군 중원대로 792</t>
  </si>
  <si>
    <t>이엠솔루션</t>
    <phoneticPr fontId="1" type="noConversion"/>
  </si>
  <si>
    <t>경남 창원 성산구 성주동 175</t>
    <phoneticPr fontId="1" type="noConversion"/>
  </si>
  <si>
    <t>아산 초사 수소충전소</t>
    <phoneticPr fontId="1" type="noConversion"/>
  </si>
  <si>
    <t>대전 유성구 학하동 388-3외 10필지</t>
    <phoneticPr fontId="1" type="noConversion"/>
  </si>
  <si>
    <t>서울 서초구 바우뫼로12길 73</t>
    <phoneticPr fontId="1" type="noConversion"/>
  </si>
  <si>
    <t>경동 수소충전소</t>
    <phoneticPr fontId="1" type="noConversion"/>
  </si>
  <si>
    <t>창원성주 수소충전소</t>
    <phoneticPr fontId="1" type="noConversion"/>
  </si>
  <si>
    <t>㈜신일 복합충전소</t>
    <phoneticPr fontId="1" type="noConversion"/>
  </si>
  <si>
    <t>대전도시공사</t>
    <phoneticPr fontId="1" type="noConversion"/>
  </si>
  <si>
    <t>서울 강동구 상일동 443-9</t>
    <phoneticPr fontId="1" type="noConversion"/>
  </si>
  <si>
    <t>울산 북구 염포로 700</t>
    <phoneticPr fontId="1" type="noConversion"/>
  </si>
  <si>
    <t>경남 창원시 진해구 죽곡동 산31-2</t>
    <phoneticPr fontId="1" type="noConversion"/>
  </si>
  <si>
    <t>00006259</t>
    <phoneticPr fontId="1" type="noConversion"/>
  </si>
  <si>
    <t>충남본부</t>
    <phoneticPr fontId="1" type="noConversion"/>
  </si>
  <si>
    <t>엔케이텍</t>
    <phoneticPr fontId="1" type="noConversion"/>
  </si>
  <si>
    <t>경기 수원시 영통구 광교호수로 250</t>
    <phoneticPr fontId="1" type="noConversion"/>
  </si>
  <si>
    <t>수원영통 복합충전소</t>
    <phoneticPr fontId="1" type="noConversion"/>
  </si>
  <si>
    <t>대구 달서구 갈산동 980</t>
    <phoneticPr fontId="1" type="noConversion"/>
  </si>
  <si>
    <t>발맥스</t>
    <phoneticPr fontId="1" type="noConversion"/>
  </si>
  <si>
    <t>02289890</t>
    <phoneticPr fontId="1" type="noConversion"/>
  </si>
  <si>
    <t>00767673</t>
    <phoneticPr fontId="1" type="noConversion"/>
  </si>
  <si>
    <t>한국에너지기술연구원</t>
    <phoneticPr fontId="1" type="noConversion"/>
  </si>
  <si>
    <t>대구본부</t>
    <phoneticPr fontId="1" type="noConversion"/>
  </si>
  <si>
    <t>저장식</t>
    <phoneticPr fontId="1" type="noConversion"/>
  </si>
  <si>
    <t>제조식</t>
    <phoneticPr fontId="1" type="noConversion"/>
  </si>
  <si>
    <t>배관공급</t>
    <phoneticPr fontId="1" type="noConversion"/>
  </si>
  <si>
    <t>연구용</t>
    <phoneticPr fontId="1" type="noConversion"/>
  </si>
  <si>
    <t>전남 여수시 여수산단로 603</t>
  </si>
  <si>
    <t>경기본부</t>
    <phoneticPr fontId="1" type="noConversion"/>
  </si>
  <si>
    <t>02336038</t>
    <phoneticPr fontId="1" type="noConversion"/>
  </si>
  <si>
    <t>하이넷 세종청사 수소충전소</t>
    <phoneticPr fontId="1" type="noConversion"/>
  </si>
  <si>
    <t>샘찬에너지</t>
    <phoneticPr fontId="1" type="noConversion"/>
  </si>
  <si>
    <t>인천 남동구 고잔동 246-15 외 2필지</t>
    <phoneticPr fontId="1" type="noConversion"/>
  </si>
  <si>
    <t>경남 창원시 마산합포구 덕동동 838</t>
    <phoneticPr fontId="1" type="noConversion"/>
  </si>
  <si>
    <t>세종 어진동 567</t>
    <phoneticPr fontId="1" type="noConversion"/>
  </si>
  <si>
    <t>02328815</t>
    <phoneticPr fontId="1" type="noConversion"/>
  </si>
  <si>
    <t>넬코리아</t>
    <phoneticPr fontId="1" type="noConversion"/>
  </si>
  <si>
    <t>대전본부</t>
    <phoneticPr fontId="1" type="noConversion"/>
  </si>
  <si>
    <t>기술검토</t>
    <phoneticPr fontId="1" type="noConversion"/>
  </si>
  <si>
    <t>02243152</t>
    <phoneticPr fontId="1" type="noConversion"/>
  </si>
  <si>
    <t>02234686</t>
    <phoneticPr fontId="1" type="noConversion"/>
  </si>
  <si>
    <t>02186998</t>
    <phoneticPr fontId="1" type="noConversion"/>
  </si>
  <si>
    <t>02341500</t>
    <phoneticPr fontId="1" type="noConversion"/>
  </si>
  <si>
    <t>강원영동</t>
    <phoneticPr fontId="1" type="noConversion"/>
  </si>
  <si>
    <t>전남동부</t>
    <phoneticPr fontId="1" type="noConversion"/>
  </si>
  <si>
    <t>울산 울주군 청량면 상남리 1036</t>
    <phoneticPr fontId="1" type="noConversion"/>
  </si>
  <si>
    <t>광주본부</t>
    <phoneticPr fontId="1" type="noConversion"/>
  </si>
  <si>
    <t>울산 남구 야음동 220-7</t>
    <phoneticPr fontId="1" type="noConversion"/>
  </si>
  <si>
    <t>CNG복합</t>
    <phoneticPr fontId="1" type="noConversion"/>
  </si>
  <si>
    <t>경기 화성시 방교동 795</t>
    <phoneticPr fontId="1" type="noConversion"/>
  </si>
  <si>
    <t>범한퓨얼셀</t>
  </si>
  <si>
    <t>범한퓨얼셀</t>
    <phoneticPr fontId="1" type="noConversion"/>
  </si>
  <si>
    <t>전기차 복합
(고시 이전설비)</t>
    <phoneticPr fontId="1" type="noConversion"/>
  </si>
  <si>
    <t>02345412</t>
    <phoneticPr fontId="1" type="noConversion"/>
  </si>
  <si>
    <t>단독</t>
  </si>
  <si>
    <t>저장식</t>
  </si>
  <si>
    <t>개질(NG+매립가스)</t>
    <phoneticPr fontId="1" type="noConversion"/>
  </si>
  <si>
    <t>단독</t>
    <phoneticPr fontId="1" type="noConversion"/>
  </si>
  <si>
    <t>LPG복합</t>
  </si>
  <si>
    <t>충전압력
(bar)</t>
    <phoneticPr fontId="1" type="noConversion"/>
  </si>
  <si>
    <t>구분</t>
    <phoneticPr fontId="1" type="noConversion"/>
  </si>
  <si>
    <t>350</t>
    <phoneticPr fontId="1" type="noConversion"/>
  </si>
  <si>
    <t>02108811</t>
    <phoneticPr fontId="1" type="noConversion"/>
  </si>
  <si>
    <t>대전도시공사 학하수소충전소</t>
    <phoneticPr fontId="1" type="noConversion"/>
  </si>
  <si>
    <t>01431244</t>
    <phoneticPr fontId="1" type="noConversion"/>
  </si>
  <si>
    <t>연구용</t>
  </si>
  <si>
    <t>하이넷 평택 수소충전소</t>
    <phoneticPr fontId="1" type="noConversion"/>
  </si>
  <si>
    <t>2019-09-05</t>
    <phoneticPr fontId="1" type="noConversion"/>
  </si>
  <si>
    <t>2019-10-07</t>
    <phoneticPr fontId="1" type="noConversion"/>
  </si>
  <si>
    <t>02313555</t>
    <phoneticPr fontId="1" type="noConversion"/>
  </si>
  <si>
    <t>02247758</t>
    <phoneticPr fontId="1" type="noConversion"/>
  </si>
  <si>
    <t>강원본부</t>
    <phoneticPr fontId="1" type="noConversion"/>
  </si>
  <si>
    <t>02349939</t>
    <phoneticPr fontId="1" type="noConversion"/>
  </si>
  <si>
    <t>2019-03-27</t>
    <phoneticPr fontId="1" type="noConversion"/>
  </si>
  <si>
    <t>2018-12-11</t>
    <phoneticPr fontId="1" type="noConversion"/>
  </si>
  <si>
    <t>강원도 삼척시 오분동 122-3 외5필지</t>
    <phoneticPr fontId="1" type="noConversion"/>
  </si>
  <si>
    <t>충남 서산시 음암면 상홍리 916 외3필지</t>
    <phoneticPr fontId="1" type="noConversion"/>
  </si>
  <si>
    <t>충북 청주시 청원구 오창읍 양청농소길 102</t>
    <phoneticPr fontId="1" type="noConversion"/>
  </si>
  <si>
    <t>㈜블루에너지</t>
    <phoneticPr fontId="1" type="noConversion"/>
  </si>
  <si>
    <t>00694369</t>
    <phoneticPr fontId="1" type="noConversion"/>
  </si>
  <si>
    <t>현대자동차㈜ 환경기술연구소</t>
    <phoneticPr fontId="1" type="noConversion"/>
  </si>
  <si>
    <t>00072686</t>
    <phoneticPr fontId="1" type="noConversion"/>
  </si>
  <si>
    <t>00002371</t>
    <phoneticPr fontId="1" type="noConversion"/>
  </si>
  <si>
    <t>01467891</t>
    <phoneticPr fontId="1" type="noConversion"/>
  </si>
  <si>
    <t>서울특별시 상암수소스테이션</t>
    <phoneticPr fontId="1" type="noConversion"/>
  </si>
  <si>
    <t>(재)광주그린카진흥원 수소융합스테이션</t>
    <phoneticPr fontId="1" type="noConversion"/>
  </si>
  <si>
    <t>01909640</t>
    <phoneticPr fontId="1" type="noConversion"/>
  </si>
  <si>
    <t>충남테크노파크 내포신도시수소충전소</t>
    <phoneticPr fontId="1" type="noConversion"/>
  </si>
  <si>
    <t>02052934</t>
    <phoneticPr fontId="1" type="noConversion"/>
  </si>
  <si>
    <t>(주)옥동엘피지수소 수소복합충전소</t>
    <phoneticPr fontId="1" type="noConversion"/>
  </si>
  <si>
    <t>02128281</t>
    <phoneticPr fontId="1" type="noConversion"/>
  </si>
  <si>
    <t>02123066</t>
    <phoneticPr fontId="1" type="noConversion"/>
  </si>
  <si>
    <t>00374721</t>
    <phoneticPr fontId="1" type="noConversion"/>
  </si>
  <si>
    <t>02246997</t>
    <phoneticPr fontId="1" type="noConversion"/>
  </si>
  <si>
    <t>(주)고신통상 영동고속도로 여주(강릉)휴게소</t>
    <phoneticPr fontId="1" type="noConversion"/>
  </si>
  <si>
    <t>02206117</t>
    <phoneticPr fontId="1" type="noConversion"/>
  </si>
  <si>
    <t>(주)엔케이텍 서부산</t>
    <phoneticPr fontId="1" type="noConversion"/>
  </si>
  <si>
    <t>01679826</t>
    <phoneticPr fontId="1" type="noConversion"/>
  </si>
  <si>
    <t>02272849</t>
    <phoneticPr fontId="1" type="noConversion"/>
  </si>
  <si>
    <t>02248915</t>
    <phoneticPr fontId="1" type="noConversion"/>
  </si>
  <si>
    <t>02248651</t>
    <phoneticPr fontId="1" type="noConversion"/>
  </si>
  <si>
    <t>한국도로공사 백양사(논산)휴게소 수소충전소</t>
    <phoneticPr fontId="1" type="noConversion"/>
  </si>
  <si>
    <t>02277482</t>
    <phoneticPr fontId="1" type="noConversion"/>
  </si>
  <si>
    <t>01261205</t>
    <phoneticPr fontId="1" type="noConversion"/>
  </si>
  <si>
    <t>수소에너지네트워크(주) 국회 수소충전소</t>
    <phoneticPr fontId="1" type="noConversion"/>
  </si>
  <si>
    <t>02276841</t>
    <phoneticPr fontId="1" type="noConversion"/>
  </si>
  <si>
    <t>00663942</t>
    <phoneticPr fontId="1" type="noConversion"/>
  </si>
  <si>
    <t>02272449</t>
    <phoneticPr fontId="1" type="noConversion"/>
  </si>
  <si>
    <t>02304948</t>
    <phoneticPr fontId="1" type="noConversion"/>
  </si>
  <si>
    <t>00000332</t>
    <phoneticPr fontId="1" type="noConversion"/>
  </si>
  <si>
    <t>02310654</t>
    <phoneticPr fontId="1" type="noConversion"/>
  </si>
  <si>
    <t>02315576</t>
    <phoneticPr fontId="1" type="noConversion"/>
  </si>
  <si>
    <t>창원 죽곡 수소충전소</t>
    <phoneticPr fontId="1" type="noConversion"/>
  </si>
  <si>
    <t>02320891</t>
    <phoneticPr fontId="1" type="noConversion"/>
  </si>
  <si>
    <t>00485712</t>
    <phoneticPr fontId="1" type="noConversion"/>
  </si>
  <si>
    <t>(주)삼한 수소충전소</t>
    <phoneticPr fontId="1" type="noConversion"/>
  </si>
  <si>
    <t>수소에너지네트워크(주) 성서 수소충전소</t>
    <phoneticPr fontId="1" type="noConversion"/>
  </si>
  <si>
    <t>하이넷 에스피지 수소충전소</t>
    <phoneticPr fontId="1" type="noConversion"/>
  </si>
  <si>
    <t>02344229</t>
    <phoneticPr fontId="1" type="noConversion"/>
  </si>
  <si>
    <t>원더플(주) 복합수소충전소</t>
    <phoneticPr fontId="1" type="noConversion"/>
  </si>
  <si>
    <t>02350166</t>
    <phoneticPr fontId="1" type="noConversion"/>
  </si>
  <si>
    <t>02354005</t>
    <phoneticPr fontId="1" type="noConversion"/>
  </si>
  <si>
    <t>02352407</t>
    <phoneticPr fontId="1" type="noConversion"/>
  </si>
  <si>
    <t>(주)투게더 수소충전소</t>
    <phoneticPr fontId="1" type="noConversion"/>
  </si>
  <si>
    <t>01833244</t>
    <phoneticPr fontId="1" type="noConversion"/>
  </si>
  <si>
    <t>02303193</t>
    <phoneticPr fontId="1" type="noConversion"/>
  </si>
  <si>
    <t>02306271</t>
    <phoneticPr fontId="1" type="noConversion"/>
  </si>
  <si>
    <t>광주 광산구 오선동 573</t>
  </si>
  <si>
    <t>01896170</t>
    <phoneticPr fontId="1" type="noConversion"/>
  </si>
  <si>
    <t>01575359</t>
    <phoneticPr fontId="1" type="noConversion"/>
  </si>
  <si>
    <t>하이넷 화성시청 수소충전소</t>
  </si>
  <si>
    <t>경기 화성시 남양읍 시청로 159</t>
  </si>
  <si>
    <t>02367906</t>
    <phoneticPr fontId="1" type="noConversion"/>
  </si>
  <si>
    <t>02331708</t>
    <phoneticPr fontId="1" type="noConversion"/>
  </si>
  <si>
    <t>주유소복합</t>
    <phoneticPr fontId="1" type="noConversion"/>
  </si>
  <si>
    <t>음성(통영) 수소충전소</t>
    <phoneticPr fontId="1" type="noConversion"/>
  </si>
  <si>
    <t>충북 음성군 삼성면 중부고속도로51</t>
    <phoneticPr fontId="1" type="noConversion"/>
  </si>
  <si>
    <t>삼보 수소충전소</t>
    <phoneticPr fontId="1" type="noConversion"/>
  </si>
  <si>
    <t>02370014</t>
    <phoneticPr fontId="1" type="noConversion"/>
  </si>
  <si>
    <t>02371170</t>
    <phoneticPr fontId="1" type="noConversion"/>
  </si>
  <si>
    <t>하이넷 대평 수소충전소</t>
    <phoneticPr fontId="1" type="noConversion"/>
  </si>
  <si>
    <t>하이넷 아산 수소충전소</t>
    <phoneticPr fontId="1" type="noConversion"/>
  </si>
  <si>
    <t>경기동부</t>
    <phoneticPr fontId="1" type="noConversion"/>
  </si>
  <si>
    <t>충남 아산시 인주면 대음리 197-5</t>
    <phoneticPr fontId="1" type="noConversion"/>
  </si>
  <si>
    <t>하이넷 용인 에버랜드 수소충전소</t>
    <phoneticPr fontId="1" type="noConversion"/>
  </si>
  <si>
    <t>경기 용인시 처인구 포곡읍 유운리 392</t>
  </si>
  <si>
    <t>안성시 수소충전소</t>
    <phoneticPr fontId="1" type="noConversion"/>
  </si>
  <si>
    <t>괴산군 개미 수소충전소</t>
    <phoneticPr fontId="1" type="noConversion"/>
  </si>
  <si>
    <t>하이넷 춘천 수소충전소</t>
    <phoneticPr fontId="1" type="noConversion"/>
  </si>
  <si>
    <t>경기서부</t>
    <phoneticPr fontId="1" type="noConversion"/>
  </si>
  <si>
    <t>울산 남구 처용로487번길 83</t>
    <phoneticPr fontId="1" type="noConversion"/>
  </si>
  <si>
    <t>세종 대평동 576-5</t>
    <phoneticPr fontId="1" type="noConversion"/>
  </si>
  <si>
    <t>신탄진 수소충전소</t>
    <phoneticPr fontId="1" type="noConversion"/>
  </si>
  <si>
    <t>대전 대덕구 상서동 236-1 외 72필지</t>
    <phoneticPr fontId="1" type="noConversion"/>
  </si>
  <si>
    <t>인천본부</t>
    <phoneticPr fontId="1" type="noConversion"/>
  </si>
  <si>
    <r>
      <t xml:space="preserve">충북 청주시 청원구 내수읍 충청대로 </t>
    </r>
    <r>
      <rPr>
        <sz val="10"/>
        <color theme="1"/>
        <rFont val="굴림"/>
        <family val="3"/>
        <charset val="129"/>
      </rPr>
      <t>771</t>
    </r>
  </si>
  <si>
    <t>안산 수소 E로움 충전소</t>
    <phoneticPr fontId="1" type="noConversion"/>
  </si>
  <si>
    <t>화성종합경기타운 수소충전소</t>
    <phoneticPr fontId="1" type="noConversion"/>
  </si>
  <si>
    <t>가로수 수소충전소</t>
    <phoneticPr fontId="1" type="noConversion"/>
  </si>
  <si>
    <t>경남 김해시 김해대로 2596번길 53</t>
    <phoneticPr fontId="1" type="noConversion"/>
  </si>
  <si>
    <t>02383122</t>
    <phoneticPr fontId="1" type="noConversion"/>
  </si>
  <si>
    <t>경기 안성시 현수동 78</t>
  </si>
  <si>
    <t>02387259</t>
    <phoneticPr fontId="1" type="noConversion"/>
  </si>
  <si>
    <t>경남서부</t>
    <phoneticPr fontId="1" type="noConversion"/>
  </si>
  <si>
    <t>경남 진주시 판문동 517-1번지 외2필지</t>
    <phoneticPr fontId="1" type="noConversion"/>
  </si>
  <si>
    <t>02388831</t>
    <phoneticPr fontId="1" type="noConversion"/>
  </si>
  <si>
    <t>경기 안산시 단원구 초지동 672-2</t>
  </si>
  <si>
    <t>02388707</t>
    <phoneticPr fontId="1" type="noConversion"/>
  </si>
  <si>
    <t>경기 화성시 향남읍 도이리 668</t>
  </si>
  <si>
    <t>02390185</t>
    <phoneticPr fontId="1" type="noConversion"/>
  </si>
  <si>
    <t>충북 청주시 흥덕구 석소동 37-13</t>
  </si>
  <si>
    <t>02391814</t>
    <phoneticPr fontId="1" type="noConversion"/>
  </si>
  <si>
    <t>충북 괴산군 괴산읍 대사리 314-2번지 외 3필지</t>
  </si>
  <si>
    <t>수소충전소 평화</t>
    <phoneticPr fontId="1" type="noConversion"/>
  </si>
  <si>
    <t>경기 평택시 현덕면 기산리 135-38 외11필지</t>
    <phoneticPr fontId="1" type="noConversion"/>
  </si>
  <si>
    <t>02365544</t>
    <phoneticPr fontId="1" type="noConversion"/>
  </si>
  <si>
    <t>(주)속초개인택시 가스충전소</t>
  </si>
  <si>
    <t>충북 제천시 봉양읍 북부로 913</t>
    <phoneticPr fontId="1" type="noConversion"/>
  </si>
  <si>
    <t>하이넷 문막 수소충전소</t>
    <phoneticPr fontId="1" type="noConversion"/>
  </si>
  <si>
    <t>강원 원주시 문막읍 동화리 114</t>
    <phoneticPr fontId="1" type="noConversion"/>
  </si>
  <si>
    <t>02381323</t>
    <phoneticPr fontId="1" type="noConversion"/>
  </si>
  <si>
    <t>02365653</t>
    <phoneticPr fontId="1" type="noConversion"/>
  </si>
  <si>
    <t>망향휴게소(부산방향) 수소충전소</t>
    <phoneticPr fontId="1" type="noConversion"/>
  </si>
  <si>
    <t>입장휴게소(서울방향) 수소충전소</t>
    <phoneticPr fontId="1" type="noConversion"/>
  </si>
  <si>
    <t>한영테크노캠</t>
    <phoneticPr fontId="1" type="noConversion"/>
  </si>
  <si>
    <t>충남 천안시 서북구 입장면 가산리 361-7 외 14필지</t>
    <phoneticPr fontId="1" type="noConversion"/>
  </si>
  <si>
    <t>경남 거제시 장평동 861-30, 861-31</t>
    <phoneticPr fontId="1" type="noConversion"/>
  </si>
  <si>
    <r>
      <t xml:space="preserve">충남 천안시 서북구 성거읍 요방리 </t>
    </r>
    <r>
      <rPr>
        <sz val="10"/>
        <color rgb="FF000000"/>
        <rFont val="굴림체"/>
        <family val="3"/>
        <charset val="129"/>
      </rPr>
      <t>121 외4필지</t>
    </r>
    <phoneticPr fontId="1" type="noConversion"/>
  </si>
  <si>
    <t>02372150</t>
    <phoneticPr fontId="1" type="noConversion"/>
  </si>
  <si>
    <t>한국교통안전공단 자동차안전연구원</t>
    <phoneticPr fontId="1" type="noConversion"/>
  </si>
  <si>
    <t>서울특별시 양재그린카스테이션</t>
    <phoneticPr fontId="1" type="noConversion"/>
  </si>
  <si>
    <t>㈜이엠석유 함안(부산)휴게소 수소충전소</t>
    <phoneticPr fontId="1" type="noConversion"/>
  </si>
  <si>
    <t>중부고속도로 하남드림휴게소 수소충전소</t>
    <phoneticPr fontId="1" type="noConversion"/>
  </si>
  <si>
    <t>지에스칼텍스㈜ 강동수소충전소</t>
    <phoneticPr fontId="1" type="noConversion"/>
  </si>
  <si>
    <t>연수 수소충전소</t>
    <phoneticPr fontId="1" type="noConversion"/>
  </si>
  <si>
    <t>청주 수소충전소</t>
    <phoneticPr fontId="1" type="noConversion"/>
  </si>
  <si>
    <t>임암 수소충전소</t>
    <phoneticPr fontId="1" type="noConversion"/>
  </si>
  <si>
    <t>창원덕동 수소충전소</t>
    <phoneticPr fontId="1" type="noConversion"/>
  </si>
  <si>
    <t>한국자동차연구원</t>
    <phoneticPr fontId="1" type="noConversion"/>
  </si>
  <si>
    <t>서산시 수소충전소</t>
    <phoneticPr fontId="1" type="noConversion"/>
  </si>
  <si>
    <t>(주)경동도시가스 덕하 수소충전소</t>
    <phoneticPr fontId="1" type="noConversion"/>
  </si>
  <si>
    <t>02377912</t>
    <phoneticPr fontId="1" type="noConversion"/>
  </si>
  <si>
    <t>02381995</t>
    <phoneticPr fontId="1" type="noConversion"/>
  </si>
  <si>
    <t>강원도 춘천시 동내면 사암리 산121-1</t>
    <phoneticPr fontId="1" type="noConversion"/>
  </si>
  <si>
    <t>현대자동차㈜ 남양연구소 수소충전소</t>
    <phoneticPr fontId="1" type="noConversion"/>
  </si>
  <si>
    <t>천안시 수소충전소</t>
    <phoneticPr fontId="1" type="noConversion"/>
  </si>
  <si>
    <t>충남 천안시 서북구 불당동 20 외 3필지</t>
    <phoneticPr fontId="1" type="noConversion"/>
  </si>
  <si>
    <t>경기도 화성시 남양읍 장덕리 772-1외 24필지</t>
    <phoneticPr fontId="1" type="noConversion"/>
  </si>
  <si>
    <t>02367905</t>
    <phoneticPr fontId="1" type="noConversion"/>
  </si>
  <si>
    <t>02374442</t>
    <phoneticPr fontId="1" type="noConversion"/>
  </si>
  <si>
    <t>02375444</t>
    <phoneticPr fontId="1" type="noConversion"/>
  </si>
  <si>
    <t>02368609</t>
    <phoneticPr fontId="1" type="noConversion"/>
  </si>
  <si>
    <t>02384313</t>
    <phoneticPr fontId="1" type="noConversion"/>
  </si>
  <si>
    <t>02375446</t>
    <phoneticPr fontId="1" type="noConversion"/>
  </si>
  <si>
    <t>02394599</t>
    <phoneticPr fontId="1" type="noConversion"/>
  </si>
  <si>
    <t>02396519</t>
    <phoneticPr fontId="1" type="noConversion"/>
  </si>
  <si>
    <t>(주)진주 수소충전소</t>
    <phoneticPr fontId="1" type="noConversion"/>
  </si>
  <si>
    <t>02400785</t>
    <phoneticPr fontId="1" type="noConversion"/>
  </si>
  <si>
    <t>신대 수소버스 충전소</t>
    <phoneticPr fontId="1" type="noConversion"/>
  </si>
  <si>
    <t>하이넷 당진정미 수소충전소</t>
    <phoneticPr fontId="1" type="noConversion"/>
  </si>
  <si>
    <t>02400860</t>
    <phoneticPr fontId="1" type="noConversion"/>
  </si>
  <si>
    <t>02189690</t>
    <phoneticPr fontId="1" type="noConversion"/>
  </si>
  <si>
    <t>02410946</t>
    <phoneticPr fontId="1" type="noConversion"/>
  </si>
  <si>
    <t>02412841</t>
    <phoneticPr fontId="1" type="noConversion"/>
  </si>
  <si>
    <t>수량</t>
    <phoneticPr fontId="1" type="noConversion"/>
  </si>
  <si>
    <t>전북 익산시 석암동 389-75</t>
    <phoneticPr fontId="1" type="noConversion"/>
  </si>
  <si>
    <t>02372149</t>
    <phoneticPr fontId="1" type="noConversion"/>
  </si>
  <si>
    <t>02400866</t>
    <phoneticPr fontId="1" type="noConversion"/>
  </si>
  <si>
    <t>2010-03-18
2019-08-12</t>
    <phoneticPr fontId="1" type="noConversion"/>
  </si>
  <si>
    <t>울산규제특구 수소선박 충전소</t>
    <phoneticPr fontId="1" type="noConversion"/>
  </si>
  <si>
    <t>하이넷 자운대 수소충전소</t>
    <phoneticPr fontId="1" type="noConversion"/>
  </si>
  <si>
    <t>02416564</t>
    <phoneticPr fontId="1" type="noConversion"/>
  </si>
  <si>
    <t>이동식</t>
    <phoneticPr fontId="1" type="noConversion"/>
  </si>
  <si>
    <t>선박형</t>
    <phoneticPr fontId="1" type="noConversion"/>
  </si>
  <si>
    <t>02412859</t>
    <phoneticPr fontId="1" type="noConversion"/>
  </si>
  <si>
    <t>02419447</t>
    <phoneticPr fontId="1" type="noConversion"/>
  </si>
  <si>
    <t>위치</t>
    <phoneticPr fontId="1" type="noConversion"/>
  </si>
  <si>
    <t>02358237</t>
    <phoneticPr fontId="1" type="noConversion"/>
  </si>
  <si>
    <t>서울 양재</t>
    <phoneticPr fontId="1" type="noConversion"/>
  </si>
  <si>
    <t>서울 상암</t>
    <phoneticPr fontId="1" type="noConversion"/>
  </si>
  <si>
    <t>전북 부안</t>
    <phoneticPr fontId="1" type="noConversion"/>
  </si>
  <si>
    <t>울산 매암</t>
    <phoneticPr fontId="1" type="noConversion"/>
  </si>
  <si>
    <t>광주 진곡</t>
    <phoneticPr fontId="1" type="noConversion"/>
  </si>
  <si>
    <t>충남 내포</t>
    <phoneticPr fontId="1" type="noConversion"/>
  </si>
  <si>
    <t>울산 옥동</t>
    <phoneticPr fontId="1" type="noConversion"/>
  </si>
  <si>
    <t>대구 달성</t>
    <phoneticPr fontId="1" type="noConversion"/>
  </si>
  <si>
    <t>울산 북구</t>
    <phoneticPr fontId="1" type="noConversion"/>
  </si>
  <si>
    <t>울산 웅촌</t>
    <phoneticPr fontId="1" type="noConversion"/>
  </si>
  <si>
    <t>창원 성주</t>
    <phoneticPr fontId="1" type="noConversion"/>
  </si>
  <si>
    <t>부산 사상</t>
    <phoneticPr fontId="1" type="noConversion"/>
  </si>
  <si>
    <t>서울 국회</t>
    <phoneticPr fontId="1" type="noConversion"/>
  </si>
  <si>
    <t>충남 당진</t>
    <phoneticPr fontId="1" type="noConversion"/>
  </si>
  <si>
    <t>전북 완주</t>
    <phoneticPr fontId="1" type="noConversion"/>
  </si>
  <si>
    <t>서울 강동</t>
    <phoneticPr fontId="1" type="noConversion"/>
  </si>
  <si>
    <t>광주 임암</t>
    <phoneticPr fontId="1" type="noConversion"/>
  </si>
  <si>
    <t>강원 삼척</t>
    <phoneticPr fontId="1" type="noConversion"/>
  </si>
  <si>
    <t>전남 여수</t>
    <phoneticPr fontId="1" type="noConversion"/>
  </si>
  <si>
    <t>광주 벽진</t>
    <phoneticPr fontId="1" type="noConversion"/>
  </si>
  <si>
    <t>울산 야음</t>
    <phoneticPr fontId="1" type="noConversion"/>
  </si>
  <si>
    <t>춘천休(부산)</t>
  </si>
  <si>
    <t>신탄진休(서울)</t>
  </si>
  <si>
    <t>울산 용연</t>
    <phoneticPr fontId="1" type="noConversion"/>
  </si>
  <si>
    <t>평택 현덕</t>
    <phoneticPr fontId="1" type="noConversion"/>
  </si>
  <si>
    <t>울산 청량
(덕하공영차고지)</t>
    <phoneticPr fontId="1" type="noConversion"/>
  </si>
  <si>
    <t>음성休(통영)</t>
    <phoneticPr fontId="1" type="noConversion"/>
  </si>
  <si>
    <t>울산 현대차</t>
    <phoneticPr fontId="1" type="noConversion"/>
  </si>
  <si>
    <t>인천 운서2
(공항T2)</t>
    <phoneticPr fontId="1" type="noConversion"/>
  </si>
  <si>
    <t>화성 남양
(화성시청)</t>
    <phoneticPr fontId="1" type="noConversion"/>
  </si>
  <si>
    <t>세종 대평</t>
    <phoneticPr fontId="1" type="noConversion"/>
  </si>
  <si>
    <t>제천 봉양</t>
    <phoneticPr fontId="1" type="noConversion"/>
  </si>
  <si>
    <t>성남 갈현</t>
    <phoneticPr fontId="1" type="noConversion"/>
  </si>
  <si>
    <t>경기 성남시 중원구 마지로 257(갈현동 546-7)</t>
    <phoneticPr fontId="1" type="noConversion"/>
  </si>
  <si>
    <t>아산 인주</t>
    <phoneticPr fontId="1" type="noConversion"/>
  </si>
  <si>
    <t>용인 포곡</t>
    <phoneticPr fontId="1" type="noConversion"/>
  </si>
  <si>
    <t>화성 향남</t>
    <phoneticPr fontId="1" type="noConversion"/>
  </si>
  <si>
    <t>속초 장사</t>
    <phoneticPr fontId="1" type="noConversion"/>
  </si>
  <si>
    <t>김해 안동
(한국가스공사)</t>
    <phoneticPr fontId="1" type="noConversion"/>
  </si>
  <si>
    <t>춘천 동내</t>
    <phoneticPr fontId="1" type="noConversion"/>
  </si>
  <si>
    <t>익산 석암</t>
    <phoneticPr fontId="1" type="noConversion"/>
  </si>
  <si>
    <t>화성 남양
(남양연구소)</t>
    <phoneticPr fontId="1" type="noConversion"/>
  </si>
  <si>
    <t>천안 불당</t>
    <phoneticPr fontId="1" type="noConversion"/>
  </si>
  <si>
    <t>청주 흥덕</t>
    <phoneticPr fontId="1" type="noConversion"/>
  </si>
  <si>
    <t>망향休(부산)</t>
    <phoneticPr fontId="1" type="noConversion"/>
  </si>
  <si>
    <t>거제 장평</t>
    <phoneticPr fontId="1" type="noConversion"/>
  </si>
  <si>
    <t>입장休(서울)</t>
    <phoneticPr fontId="1" type="noConversion"/>
  </si>
  <si>
    <t>인천 신흥</t>
    <phoneticPr fontId="1" type="noConversion"/>
  </si>
  <si>
    <t>대전 신대</t>
    <phoneticPr fontId="1" type="noConversion"/>
  </si>
  <si>
    <t>당진 정미</t>
    <phoneticPr fontId="1" type="noConversion"/>
  </si>
  <si>
    <t>양산 증산</t>
    <phoneticPr fontId="1" type="noConversion"/>
  </si>
  <si>
    <t>대전 자운</t>
    <phoneticPr fontId="1" type="noConversion"/>
  </si>
  <si>
    <t>린데</t>
    <phoneticPr fontId="1" type="noConversion"/>
  </si>
  <si>
    <t>경기 마북</t>
    <phoneticPr fontId="1" type="noConversion"/>
  </si>
  <si>
    <t>경남 창원</t>
    <phoneticPr fontId="1" type="noConversion"/>
  </si>
  <si>
    <t>광주 광산</t>
    <phoneticPr fontId="1" type="noConversion"/>
  </si>
  <si>
    <t>부산 강서</t>
    <phoneticPr fontId="1" type="noConversion"/>
  </si>
  <si>
    <t>울산 울주</t>
    <phoneticPr fontId="1" type="noConversion"/>
  </si>
  <si>
    <t>대전 유성</t>
    <phoneticPr fontId="1" type="noConversion"/>
  </si>
  <si>
    <t>인천 남동</t>
    <phoneticPr fontId="1" type="noConversion"/>
  </si>
  <si>
    <t>충남 아산</t>
    <phoneticPr fontId="1" type="noConversion"/>
  </si>
  <si>
    <t>충남 서산</t>
    <phoneticPr fontId="1" type="noConversion"/>
  </si>
  <si>
    <t>경기 안성休(하)</t>
    <phoneticPr fontId="1" type="noConversion"/>
  </si>
  <si>
    <t>경기 안성休(상)</t>
    <phoneticPr fontId="1" type="noConversion"/>
  </si>
  <si>
    <t>충북 충주
(현대모비스)</t>
    <phoneticPr fontId="1" type="noConversion"/>
  </si>
  <si>
    <t xml:space="preserve"> 경북 성주休(양평)</t>
    <phoneticPr fontId="1" type="noConversion"/>
  </si>
  <si>
    <t>경남 함안休(부산)</t>
    <phoneticPr fontId="1" type="noConversion"/>
  </si>
  <si>
    <t>대구 달서</t>
    <phoneticPr fontId="1" type="noConversion"/>
  </si>
  <si>
    <t>세종 정부청사</t>
    <phoneticPr fontId="1" type="noConversion"/>
  </si>
  <si>
    <t>광주 광산
(자동차연구원)</t>
    <phoneticPr fontId="1" type="noConversion"/>
  </si>
  <si>
    <t>인천 운서 T1
(공항T1)</t>
    <phoneticPr fontId="1" type="noConversion"/>
  </si>
  <si>
    <t>충북 괴산</t>
    <phoneticPr fontId="1" type="noConversion"/>
  </si>
  <si>
    <t>현대자동차</t>
    <phoneticPr fontId="1" type="noConversion"/>
  </si>
  <si>
    <t>서울에너지공사</t>
    <phoneticPr fontId="1" type="noConversion"/>
  </si>
  <si>
    <t>지능형자동차
부품진흥원</t>
    <phoneticPr fontId="1" type="noConversion"/>
  </si>
  <si>
    <t>한국교통안전공단</t>
    <phoneticPr fontId="1" type="noConversion"/>
  </si>
  <si>
    <t>광주그린카진흥원</t>
    <phoneticPr fontId="1" type="noConversion"/>
  </si>
  <si>
    <t>운영기관</t>
    <phoneticPr fontId="1" type="noConversion"/>
  </si>
  <si>
    <t>경동도시가스
울산테크노파크</t>
    <phoneticPr fontId="1" type="noConversion"/>
  </si>
  <si>
    <t>단독(패키지)</t>
    <phoneticPr fontId="1" type="noConversion"/>
  </si>
  <si>
    <t>창원산업진흥원</t>
    <phoneticPr fontId="1" type="noConversion"/>
  </si>
  <si>
    <t>전북테크노파크</t>
    <phoneticPr fontId="1" type="noConversion"/>
  </si>
  <si>
    <t>한국가스기술공사</t>
    <phoneticPr fontId="1" type="noConversion"/>
  </si>
  <si>
    <t>하이넷</t>
    <phoneticPr fontId="1" type="noConversion"/>
  </si>
  <si>
    <t>아산시청</t>
    <phoneticPr fontId="1" type="noConversion"/>
  </si>
  <si>
    <t>서산시청</t>
    <phoneticPr fontId="1" type="noConversion"/>
  </si>
  <si>
    <t>㈜블루에너지
한국가스기술공사</t>
    <phoneticPr fontId="1" type="noConversion"/>
  </si>
  <si>
    <t>중도가스</t>
    <phoneticPr fontId="1" type="noConversion"/>
  </si>
  <si>
    <t>삼보주유소
한국가스기술공사</t>
    <phoneticPr fontId="1" type="noConversion"/>
  </si>
  <si>
    <t>에어프로덕츠㈜</t>
    <phoneticPr fontId="1" type="noConversion"/>
  </si>
  <si>
    <t>충남 아산시 초사동 473</t>
    <phoneticPr fontId="1" type="noConversion"/>
  </si>
  <si>
    <t>Nel</t>
    <phoneticPr fontId="1" type="noConversion"/>
  </si>
  <si>
    <t>2공단 수소충전소</t>
    <phoneticPr fontId="1" type="noConversion"/>
  </si>
  <si>
    <t>강원테크노파크</t>
    <phoneticPr fontId="1" type="noConversion"/>
  </si>
  <si>
    <t>하이넷 인천공항T2 수소충전소</t>
    <phoneticPr fontId="1" type="noConversion"/>
  </si>
  <si>
    <t>강원 속초시 장사동 395-4, 395-32</t>
    <phoneticPr fontId="1" type="noConversion"/>
  </si>
  <si>
    <t>인천광역시 중구 운서동 3231, 2833-6</t>
    <phoneticPr fontId="1" type="noConversion"/>
  </si>
  <si>
    <t>DM</t>
    <phoneticPr fontId="1" type="noConversion"/>
  </si>
  <si>
    <t>저장식+제조식</t>
    <phoneticPr fontId="1" type="noConversion"/>
  </si>
  <si>
    <t>제아이앤지
지티씨</t>
    <phoneticPr fontId="1" type="noConversion"/>
  </si>
  <si>
    <t>경기 여주休</t>
    <phoneticPr fontId="1" type="noConversion"/>
  </si>
  <si>
    <t>전남 백양사休</t>
    <phoneticPr fontId="1" type="noConversion"/>
  </si>
  <si>
    <t>울산 언양休</t>
    <phoneticPr fontId="1" type="noConversion"/>
  </si>
  <si>
    <t>경기 하남만남休</t>
    <phoneticPr fontId="1" type="noConversion"/>
  </si>
  <si>
    <t>원주 문막休</t>
    <phoneticPr fontId="1" type="noConversion"/>
  </si>
  <si>
    <t>(주)속초개인택시</t>
    <phoneticPr fontId="1" type="noConversion"/>
  </si>
  <si>
    <t>린데코리아</t>
    <phoneticPr fontId="1" type="noConversion"/>
  </si>
  <si>
    <t>대보유통㈜</t>
    <phoneticPr fontId="1" type="noConversion"/>
  </si>
  <si>
    <t xml:space="preserve">㈜고신통상 </t>
    <phoneticPr fontId="1" type="noConversion"/>
  </si>
  <si>
    <t>대도에너지</t>
    <phoneticPr fontId="1" type="noConversion"/>
  </si>
  <si>
    <t>하남만남주유소</t>
    <phoneticPr fontId="1" type="noConversion"/>
  </si>
  <si>
    <t>지에스칼텔스㈜</t>
    <phoneticPr fontId="1" type="noConversion"/>
  </si>
  <si>
    <t>원더플충전소</t>
    <phoneticPr fontId="1" type="noConversion"/>
  </si>
  <si>
    <t>한국그린충전㈜</t>
    <phoneticPr fontId="1" type="noConversion"/>
  </si>
  <si>
    <t>엘피지충전소 유무</t>
    <phoneticPr fontId="1" type="noConversion"/>
  </si>
  <si>
    <t>해당없음</t>
    <phoneticPr fontId="1" type="noConversion"/>
  </si>
  <si>
    <t>자동차</t>
    <phoneticPr fontId="1" type="noConversion"/>
  </si>
  <si>
    <t>용기, 자동차</t>
    <phoneticPr fontId="1" type="noConversion"/>
  </si>
  <si>
    <t>가로수주유소</t>
    <phoneticPr fontId="1" type="noConversion"/>
  </si>
  <si>
    <t>성남에너지</t>
    <phoneticPr fontId="1" type="noConversion"/>
  </si>
  <si>
    <t>월출 수소충전소</t>
    <phoneticPr fontId="1" type="noConversion"/>
  </si>
  <si>
    <t>광주 월출</t>
    <phoneticPr fontId="1" type="noConversion"/>
  </si>
  <si>
    <t>02405869</t>
    <phoneticPr fontId="1" type="noConversion"/>
  </si>
  <si>
    <t>태양 수소충전소</t>
    <phoneticPr fontId="1" type="noConversion"/>
  </si>
  <si>
    <t>인천 가좌</t>
    <phoneticPr fontId="1" type="noConversion"/>
  </si>
  <si>
    <t>인천광역시 서구 가좌동 173-117</t>
    <phoneticPr fontId="1" type="noConversion"/>
  </si>
  <si>
    <t>02396511</t>
    <phoneticPr fontId="1" type="noConversion"/>
  </si>
  <si>
    <t>창원 사림 수소충전소</t>
    <phoneticPr fontId="1" type="noConversion"/>
  </si>
  <si>
    <t>창원 사림</t>
    <phoneticPr fontId="1" type="noConversion"/>
  </si>
  <si>
    <t>경남 창원시 의창구 사림동 167번지 외1필지(167-1)</t>
  </si>
  <si>
    <t>02428600</t>
    <phoneticPr fontId="1" type="noConversion"/>
  </si>
  <si>
    <t>마곡 서남 수소충전소</t>
    <phoneticPr fontId="1" type="noConversion"/>
  </si>
  <si>
    <t>서울 강서구 양천로 225</t>
    <phoneticPr fontId="1" type="noConversion"/>
  </si>
  <si>
    <t>02440684</t>
    <phoneticPr fontId="1" type="noConversion"/>
  </si>
  <si>
    <t>샘찬</t>
    <phoneticPr fontId="1" type="noConversion"/>
  </si>
  <si>
    <t>(주)서강이엔 한강 LPG 수소 복합 충전소</t>
  </si>
  <si>
    <t>경기 고양시 덕양구 덕은동 557-1,557-5,557-7</t>
  </si>
  <si>
    <t>02319253</t>
    <phoneticPr fontId="1" type="noConversion"/>
  </si>
  <si>
    <t>경기중부</t>
    <phoneticPr fontId="1" type="noConversion"/>
  </si>
  <si>
    <t>하이넷 경남 통영 수소충전소</t>
    <phoneticPr fontId="1" type="noConversion"/>
  </si>
  <si>
    <t>통영 장평</t>
    <phoneticPr fontId="1" type="noConversion"/>
  </si>
  <si>
    <t>경남 통영시 용남면 장평리 37번지 외 3필지</t>
  </si>
  <si>
    <t>02418331</t>
    <phoneticPr fontId="1" type="noConversion"/>
  </si>
  <si>
    <t>관음 수소충전소</t>
    <phoneticPr fontId="1" type="noConversion"/>
  </si>
  <si>
    <t>대구 관음</t>
    <phoneticPr fontId="1" type="noConversion"/>
  </si>
  <si>
    <t>대구광역시 북구 관음로 127</t>
    <phoneticPr fontId="1" type="noConversion"/>
  </si>
  <si>
    <t>02414780</t>
    <phoneticPr fontId="1" type="noConversion"/>
  </si>
  <si>
    <t>하이넷 상주외답 수소충전소</t>
    <phoneticPr fontId="1" type="noConversion"/>
  </si>
  <si>
    <t>상주 외답</t>
    <phoneticPr fontId="1" type="noConversion"/>
  </si>
  <si>
    <t>경북 상주시 외답동 718 외 8번지</t>
    <phoneticPr fontId="1" type="noConversion"/>
  </si>
  <si>
    <t>02438596</t>
    <phoneticPr fontId="1" type="noConversion"/>
  </si>
  <si>
    <t>경북북부</t>
    <phoneticPr fontId="1" type="noConversion"/>
  </si>
  <si>
    <t>범한</t>
    <phoneticPr fontId="1" type="noConversion"/>
  </si>
  <si>
    <t>부안군 수소충전소</t>
    <phoneticPr fontId="1" type="noConversion"/>
  </si>
  <si>
    <t>02412785</t>
    <phoneticPr fontId="1" type="noConversion"/>
  </si>
  <si>
    <t>하이넷 부산 정관 수소충전소</t>
    <phoneticPr fontId="1" type="noConversion"/>
  </si>
  <si>
    <t>부산 정림</t>
    <phoneticPr fontId="1" type="noConversion"/>
  </si>
  <si>
    <t>부산 기장군 정관읍 신정관로 187</t>
  </si>
  <si>
    <t>02349303</t>
    <phoneticPr fontId="1" type="noConversion"/>
  </si>
  <si>
    <t>부산북부</t>
    <phoneticPr fontId="1" type="noConversion"/>
  </si>
  <si>
    <t>하이넷 군산지곡 수소충전소</t>
    <phoneticPr fontId="1" type="noConversion"/>
  </si>
  <si>
    <t>군산 지곡</t>
    <phoneticPr fontId="1" type="noConversion"/>
  </si>
  <si>
    <t>전북 군산시 월명로 112</t>
    <phoneticPr fontId="1" type="noConversion"/>
  </si>
  <si>
    <t>02377911</t>
    <phoneticPr fontId="1" type="noConversion"/>
  </si>
  <si>
    <t>린데코리아 대전SK주유소 수소충전소</t>
    <phoneticPr fontId="1" type="noConversion"/>
  </si>
  <si>
    <t>대전 유성구 현충원로 168</t>
    <phoneticPr fontId="1" type="noConversion"/>
  </si>
  <si>
    <t>02441484</t>
    <phoneticPr fontId="1" type="noConversion"/>
  </si>
  <si>
    <t>음성휴게소(하남방향) 수소충전소</t>
    <phoneticPr fontId="1" type="noConversion"/>
  </si>
  <si>
    <t>음성休(남이)</t>
    <phoneticPr fontId="1" type="noConversion"/>
  </si>
  <si>
    <t>충북 음성군 삼성면 양덕리 산98-5 외 15필지</t>
    <phoneticPr fontId="1" type="noConversion"/>
  </si>
  <si>
    <t>02372142</t>
    <phoneticPr fontId="1" type="noConversion"/>
  </si>
  <si>
    <t>하이넷 속리산휴게소 수소충전소</t>
    <phoneticPr fontId="1" type="noConversion"/>
  </si>
  <si>
    <t>충북 보은
(속리산休)</t>
    <phoneticPr fontId="1" type="noConversion"/>
  </si>
  <si>
    <t>충북 보은군 마로면 적암리 182-3 외7필지</t>
    <phoneticPr fontId="1" type="noConversion"/>
  </si>
  <si>
    <t>02450549</t>
    <phoneticPr fontId="1" type="noConversion"/>
  </si>
  <si>
    <t>하이넷 광명소하 수소충전소</t>
    <phoneticPr fontId="1" type="noConversion"/>
  </si>
  <si>
    <t>경기 광명시 소하동 610-4, 610-6</t>
  </si>
  <si>
    <t>02428625</t>
    <phoneticPr fontId="1" type="noConversion"/>
  </si>
  <si>
    <t>하이넷 구미 옥계 수소충전소</t>
    <phoneticPr fontId="1" type="noConversion"/>
  </si>
  <si>
    <t>구미 옥계</t>
    <phoneticPr fontId="1" type="noConversion"/>
  </si>
  <si>
    <t>경북 구미시 옥계동 483-1 외4필지</t>
  </si>
  <si>
    <t>02438599</t>
    <phoneticPr fontId="1" type="noConversion"/>
  </si>
  <si>
    <t>강원도 평창 대관령 수소충전소</t>
    <phoneticPr fontId="1" type="noConversion"/>
  </si>
  <si>
    <t>평창 대관령</t>
    <phoneticPr fontId="1" type="noConversion"/>
  </si>
  <si>
    <t>02387341</t>
    <phoneticPr fontId="1" type="noConversion"/>
  </si>
  <si>
    <t>하이넷 내린천휴게소 수소충전소</t>
    <phoneticPr fontId="1" type="noConversion"/>
  </si>
  <si>
    <t>강원 인제</t>
    <phoneticPr fontId="1" type="noConversion"/>
  </si>
  <si>
    <t>강원 인제군 상남면 하남리 375-2 외 5필지</t>
    <phoneticPr fontId="1" type="noConversion"/>
  </si>
  <si>
    <t>02405202</t>
  </si>
  <si>
    <t>충주 봉방</t>
    <phoneticPr fontId="1" type="noConversion"/>
  </si>
  <si>
    <t>충북 충주시 봉방동 649-8</t>
    <phoneticPr fontId="1" type="noConversion"/>
  </si>
  <si>
    <t>02396445</t>
    <phoneticPr fontId="1" type="noConversion"/>
  </si>
  <si>
    <t>2021-01-25
2021-11-18
2021-12-22</t>
    <phoneticPr fontId="1" type="noConversion"/>
  </si>
  <si>
    <t>린데수소충전소-화성휴게소(목포방향)</t>
    <phoneticPr fontId="1" type="noConversion"/>
  </si>
  <si>
    <t>화성 팔탄</t>
    <phoneticPr fontId="1" type="noConversion"/>
  </si>
  <si>
    <t>경기 화성시 팔탄면 덕천리 산 102-1외 3필지(산102-10, 산105-2, 산105-6)</t>
    <phoneticPr fontId="1" type="noConversion"/>
  </si>
  <si>
    <t>02451285</t>
    <phoneticPr fontId="1" type="noConversion"/>
  </si>
  <si>
    <t>주식회사 경 수소충전소</t>
    <phoneticPr fontId="1" type="noConversion"/>
  </si>
  <si>
    <t>울산 창평</t>
    <phoneticPr fontId="1" type="noConversion"/>
  </si>
  <si>
    <t>울산 북구 산업로 1274</t>
    <phoneticPr fontId="1" type="noConversion"/>
  </si>
  <si>
    <t>02451922</t>
    <phoneticPr fontId="1" type="noConversion"/>
  </si>
  <si>
    <t>하이넷 김포 걸포 수소충전소</t>
    <phoneticPr fontId="1" type="noConversion"/>
  </si>
  <si>
    <t>김포 걸포</t>
    <phoneticPr fontId="1" type="noConversion"/>
  </si>
  <si>
    <t>경기 김포시 걸포동 1550-62 외 3필지(423-66, 423-91, 2-248)</t>
    <phoneticPr fontId="1" type="noConversion"/>
  </si>
  <si>
    <t>02445116</t>
  </si>
  <si>
    <t>하이넷 안산 사사 수소충전소</t>
    <phoneticPr fontId="1" type="noConversion"/>
  </si>
  <si>
    <t>안산 상록</t>
    <phoneticPr fontId="1" type="noConversion"/>
  </si>
  <si>
    <t>02420125</t>
  </si>
  <si>
    <t>E1 고양 원당 수소충전소</t>
    <phoneticPr fontId="1" type="noConversion"/>
  </si>
  <si>
    <t>고양 원당</t>
    <phoneticPr fontId="1" type="noConversion"/>
  </si>
  <si>
    <t>02454928</t>
  </si>
  <si>
    <t>전주 삼천 수소충전소</t>
    <phoneticPr fontId="1" type="noConversion"/>
  </si>
  <si>
    <t>전주 삼천</t>
    <phoneticPr fontId="1" type="noConversion"/>
  </si>
  <si>
    <r>
      <t xml:space="preserve">전북 전주시 완산구 삼천동 </t>
    </r>
    <r>
      <rPr>
        <sz val="10"/>
        <color rgb="FF000000"/>
        <rFont val="굴림체"/>
        <family val="3"/>
        <charset val="129"/>
      </rPr>
      <t>3</t>
    </r>
    <r>
      <rPr>
        <sz val="10"/>
        <color rgb="FF000000"/>
        <rFont val="맑은 고딕"/>
        <family val="3"/>
        <charset val="129"/>
        <scheme val="minor"/>
      </rPr>
      <t xml:space="preserve">가 </t>
    </r>
    <r>
      <rPr>
        <sz val="10"/>
        <color rgb="FF000000"/>
        <rFont val="굴림체"/>
        <family val="3"/>
        <charset val="129"/>
      </rPr>
      <t>407-1</t>
    </r>
    <phoneticPr fontId="1" type="noConversion"/>
  </si>
  <si>
    <t>양포LPG충전소</t>
    <phoneticPr fontId="1" type="noConversion"/>
  </si>
  <si>
    <t>상주IC충전소</t>
    <phoneticPr fontId="1" type="noConversion"/>
  </si>
  <si>
    <t>정림에너지</t>
    <phoneticPr fontId="1" type="noConversion"/>
  </si>
  <si>
    <t>대성에너지㈜</t>
    <phoneticPr fontId="1" type="noConversion"/>
  </si>
  <si>
    <t>㈜서강이엔</t>
    <phoneticPr fontId="1" type="noConversion"/>
  </si>
  <si>
    <t>에코바이오홀딩스㈜</t>
    <phoneticPr fontId="1" type="noConversion"/>
  </si>
  <si>
    <t>태양LPG충전소</t>
    <phoneticPr fontId="1" type="noConversion"/>
  </si>
  <si>
    <t>인천그린에너지㈜</t>
    <phoneticPr fontId="1" type="noConversion"/>
  </si>
  <si>
    <t>경동도시가스</t>
    <phoneticPr fontId="1" type="noConversion"/>
  </si>
  <si>
    <t>새거제충전소</t>
    <phoneticPr fontId="1" type="noConversion"/>
  </si>
  <si>
    <t>평화주유소</t>
    <phoneticPr fontId="1" type="noConversion"/>
  </si>
  <si>
    <t>넝쿨가스충전소</t>
    <phoneticPr fontId="1" type="noConversion"/>
  </si>
  <si>
    <t>새만금충전소</t>
    <phoneticPr fontId="1" type="noConversion"/>
  </si>
  <si>
    <t>경</t>
    <phoneticPr fontId="1" type="noConversion"/>
  </si>
  <si>
    <t>대양석유㈜</t>
    <phoneticPr fontId="1" type="noConversion"/>
  </si>
  <si>
    <t>E1</t>
    <phoneticPr fontId="1" type="noConversion"/>
  </si>
  <si>
    <t>서울 오곡</t>
    <phoneticPr fontId="1" type="noConversion"/>
  </si>
  <si>
    <t>서울</t>
    <phoneticPr fontId="1" type="noConversion"/>
  </si>
  <si>
    <t>서울 강서구 오곡동 699-14</t>
    <phoneticPr fontId="1" type="noConversion"/>
  </si>
  <si>
    <t>02454931</t>
  </si>
  <si>
    <t>지역구분</t>
    <phoneticPr fontId="1" type="noConversion"/>
  </si>
  <si>
    <t>경기 하남시 중부고속도로 117-1 하남드림휴게소</t>
    <phoneticPr fontId="1" type="noConversion"/>
  </si>
  <si>
    <t>경기 평택시 팽성읍 남산리 218-8 외3필지</t>
    <phoneticPr fontId="1" type="noConversion"/>
  </si>
  <si>
    <t>권역구분</t>
    <phoneticPr fontId="1" type="noConversion"/>
  </si>
  <si>
    <t>경상</t>
    <phoneticPr fontId="1" type="noConversion"/>
  </si>
  <si>
    <t>경기</t>
    <phoneticPr fontId="1" type="noConversion"/>
  </si>
  <si>
    <t>강원</t>
    <phoneticPr fontId="1" type="noConversion"/>
  </si>
  <si>
    <t>전북 부안군 행안면 역리 1200</t>
    <phoneticPr fontId="1" type="noConversion"/>
  </si>
  <si>
    <t>전라</t>
    <phoneticPr fontId="1" type="noConversion"/>
  </si>
  <si>
    <t>충청</t>
    <phoneticPr fontId="1" type="noConversion"/>
  </si>
  <si>
    <t>충남 당진시 정미면 사관리 96-12</t>
    <phoneticPr fontId="1" type="noConversion"/>
  </si>
  <si>
    <t>인천</t>
    <phoneticPr fontId="1" type="noConversion"/>
  </si>
  <si>
    <t>전북</t>
    <phoneticPr fontId="1" type="noConversion"/>
  </si>
  <si>
    <t>창원가포수소충전소</t>
    <phoneticPr fontId="1" type="noConversion"/>
  </si>
  <si>
    <t>창원 가포</t>
    <phoneticPr fontId="1" type="noConversion"/>
  </si>
  <si>
    <t>경남</t>
    <phoneticPr fontId="1" type="noConversion"/>
  </si>
  <si>
    <t>경남 창원시 마산합포구 가포신항남로 43</t>
    <phoneticPr fontId="1" type="noConversion"/>
  </si>
  <si>
    <t>광명 소하</t>
    <phoneticPr fontId="1" type="noConversion"/>
  </si>
  <si>
    <t>고양 덕은</t>
    <phoneticPr fontId="1" type="noConversion"/>
  </si>
  <si>
    <t>안산 초지</t>
    <phoneticPr fontId="1" type="noConversion"/>
  </si>
  <si>
    <t>진주 판문</t>
    <phoneticPr fontId="1" type="noConversion"/>
  </si>
  <si>
    <t>안성 현수</t>
    <phoneticPr fontId="1" type="noConversion"/>
  </si>
  <si>
    <t>수원 영통</t>
    <phoneticPr fontId="1" type="noConversion"/>
  </si>
  <si>
    <t>음성 생극</t>
    <phoneticPr fontId="1" type="noConversion"/>
  </si>
  <si>
    <t>창원 죽곡</t>
    <phoneticPr fontId="1" type="noConversion"/>
  </si>
  <si>
    <t>평택 팽성</t>
    <phoneticPr fontId="1" type="noConversion"/>
  </si>
  <si>
    <t>평택 장안</t>
    <phoneticPr fontId="1" type="noConversion"/>
  </si>
  <si>
    <t>화성 방교</t>
    <phoneticPr fontId="1" type="noConversion"/>
  </si>
  <si>
    <t>전주 송천</t>
    <phoneticPr fontId="1" type="noConversion"/>
  </si>
  <si>
    <t>충주 연수</t>
    <phoneticPr fontId="1" type="noConversion"/>
  </si>
  <si>
    <t>청주 오창</t>
    <phoneticPr fontId="1" type="noConversion"/>
  </si>
  <si>
    <t>청주 도원</t>
    <phoneticPr fontId="1" type="noConversion"/>
  </si>
  <si>
    <t>광주 장등 수소버스충전소</t>
    <phoneticPr fontId="1" type="noConversion"/>
  </si>
  <si>
    <t>광주 장등</t>
    <phoneticPr fontId="1" type="noConversion"/>
  </si>
  <si>
    <t>광주</t>
    <phoneticPr fontId="1" type="noConversion"/>
  </si>
  <si>
    <t>광구 북구 장등동 858-3</t>
    <phoneticPr fontId="1" type="noConversion"/>
  </si>
  <si>
    <t>02441485</t>
    <phoneticPr fontId="1" type="noConversion"/>
  </si>
  <si>
    <t>02446421</t>
  </si>
  <si>
    <t>㈜해양에너지</t>
    <phoneticPr fontId="1" type="noConversion"/>
  </si>
  <si>
    <t>서울 개화</t>
    <phoneticPr fontId="1" type="noConversion"/>
  </si>
  <si>
    <t>02448174</t>
  </si>
  <si>
    <t>02419842</t>
    <phoneticPr fontId="1" type="noConversion"/>
  </si>
  <si>
    <t>2021-09-17
2021-12-24</t>
    <phoneticPr fontId="1" type="noConversion"/>
  </si>
  <si>
    <t>2021-10-01
2022-01-20</t>
    <phoneticPr fontId="1" type="noConversion"/>
  </si>
  <si>
    <t>2021-05-27
2022-03-02</t>
    <phoneticPr fontId="1" type="noConversion"/>
  </si>
  <si>
    <t>대전 낭월</t>
    <phoneticPr fontId="1" type="noConversion"/>
  </si>
  <si>
    <t>대전</t>
    <phoneticPr fontId="1" type="noConversion"/>
  </si>
  <si>
    <t>대전 동구 구도동 77-4 외 9필지</t>
    <phoneticPr fontId="1" type="noConversion"/>
  </si>
  <si>
    <t>02419263</t>
  </si>
  <si>
    <t>2021-04-20
2022-02-25
2022-03-07</t>
    <phoneticPr fontId="1" type="noConversion"/>
  </si>
  <si>
    <t>하이넷 광양 성황 수소충전소</t>
    <phoneticPr fontId="1" type="noConversion"/>
  </si>
  <si>
    <t>전남</t>
    <phoneticPr fontId="1" type="noConversion"/>
  </si>
  <si>
    <t>전남 광양시 성황동 75-3, 76</t>
    <phoneticPr fontId="1" type="noConversion"/>
  </si>
  <si>
    <t>02462858</t>
  </si>
  <si>
    <t>하이넷 대전 중촌 수소충전소</t>
    <phoneticPr fontId="1" type="noConversion"/>
  </si>
  <si>
    <t>대전 중촌</t>
    <phoneticPr fontId="1" type="noConversion"/>
  </si>
  <si>
    <t>광양 성황</t>
    <phoneticPr fontId="1" type="noConversion"/>
  </si>
  <si>
    <t>맘모스충전소</t>
    <phoneticPr fontId="1" type="noConversion"/>
  </si>
  <si>
    <t>02443495</t>
  </si>
  <si>
    <t>임실 오수</t>
    <phoneticPr fontId="1" type="noConversion"/>
  </si>
  <si>
    <t>전북 임실군 오수면 대명리 783-16, 783-22</t>
    <phoneticPr fontId="1" type="noConversion"/>
  </si>
  <si>
    <t>02443728</t>
  </si>
  <si>
    <t>덕유산(하남) 휴게소 수소충전소</t>
  </si>
  <si>
    <t>무주 안성</t>
    <phoneticPr fontId="1" type="noConversion"/>
  </si>
  <si>
    <t>전북 무주군 안성면 공진리 471번지 외18필지</t>
    <phoneticPr fontId="1" type="noConversion"/>
  </si>
  <si>
    <t>02443732</t>
  </si>
  <si>
    <t>대구 신서</t>
    <phoneticPr fontId="1" type="noConversion"/>
  </si>
  <si>
    <t>2021-01-04
2021-11-24</t>
    <phoneticPr fontId="1" type="noConversion"/>
  </si>
  <si>
    <t>대구 동구 첨단로 120</t>
    <phoneticPr fontId="1" type="noConversion"/>
  </si>
  <si>
    <t>02406280</t>
  </si>
  <si>
    <t>한국가스공사</t>
    <phoneticPr fontId="1" type="noConversion"/>
  </si>
  <si>
    <t>대구</t>
    <phoneticPr fontId="1" type="noConversion"/>
  </si>
  <si>
    <t>동해(삼척) 휴게소 수소충전소</t>
    <phoneticPr fontId="1" type="noConversion"/>
  </si>
  <si>
    <t>동해 망상</t>
    <phoneticPr fontId="1" type="noConversion"/>
  </si>
  <si>
    <t>02443735</t>
  </si>
  <si>
    <t>하이넷 인천 오류 수소충전소</t>
    <phoneticPr fontId="1" type="noConversion"/>
  </si>
  <si>
    <t>인천 오류</t>
    <phoneticPr fontId="1" type="noConversion"/>
  </si>
  <si>
    <t>강원 동해시 망상동 산3-1도, 산2-10도</t>
    <phoneticPr fontId="1" type="noConversion"/>
  </si>
  <si>
    <t>인천 서구 오류동 1708번지(환경산업연구단지 내)</t>
    <phoneticPr fontId="1" type="noConversion"/>
  </si>
  <si>
    <t>02466943</t>
  </si>
  <si>
    <t>하이넷 함평천지휴게소 수소충전소</t>
    <phoneticPr fontId="1" type="noConversion"/>
  </si>
  <si>
    <t>전남 함평</t>
    <phoneticPr fontId="1" type="noConversion"/>
  </si>
  <si>
    <t>전남 함평군 함평읍 옥산리 741-1, 741-3, 산78-5</t>
    <phoneticPr fontId="1" type="noConversion"/>
  </si>
  <si>
    <t>02466553</t>
  </si>
  <si>
    <t>하이넷 대천휴게소(서울방향) 수소충전소</t>
    <phoneticPr fontId="1" type="noConversion"/>
  </si>
  <si>
    <t>보령 주교</t>
    <phoneticPr fontId="1" type="noConversion"/>
  </si>
  <si>
    <t>충남</t>
    <phoneticPr fontId="1" type="noConversion"/>
  </si>
  <si>
    <t>충남 보령시 주교면 주교리 903-18, 903-54</t>
    <phoneticPr fontId="1" type="noConversion"/>
  </si>
  <si>
    <t>02453178</t>
  </si>
  <si>
    <t>하이넷 구리토평 수소충전소</t>
    <phoneticPr fontId="1" type="noConversion"/>
  </si>
  <si>
    <t>구리 토평</t>
    <phoneticPr fontId="1" type="noConversion"/>
  </si>
  <si>
    <t>02464344</t>
  </si>
  <si>
    <t>경기북부</t>
    <phoneticPr fontId="1" type="noConversion"/>
  </si>
  <si>
    <t>평택 청북</t>
    <phoneticPr fontId="1" type="noConversion"/>
  </si>
  <si>
    <t>(주)에이치케이하이웨이(평택휴게소(상,하) 수소자동차충전소</t>
    <phoneticPr fontId="1" type="noConversion"/>
  </si>
  <si>
    <t>(주)에이치케이하이웨이</t>
    <phoneticPr fontId="1" type="noConversion"/>
  </si>
  <si>
    <t>경기 평택시 청북읍 평택제천고속도로 6</t>
    <phoneticPr fontId="1" type="noConversion"/>
  </si>
  <si>
    <t>경기 구리시 토평동 465-92 외 3필지(465-93,465-94, 465-319)</t>
    <phoneticPr fontId="1" type="noConversion"/>
  </si>
  <si>
    <t>02438135</t>
  </si>
  <si>
    <t>한국그린충전소(주)대구지사(대구혁신도시 수소충전소)</t>
    <phoneticPr fontId="1" type="noConversion"/>
  </si>
  <si>
    <t>과천 LPG 수소충전소</t>
    <phoneticPr fontId="1" type="noConversion"/>
  </si>
  <si>
    <t>경기 과천</t>
    <phoneticPr fontId="1" type="noConversion"/>
  </si>
  <si>
    <t>과천엘피지충전소</t>
    <phoneticPr fontId="1" type="noConversion"/>
  </si>
  <si>
    <t>경기 과천시 과천동 30</t>
    <phoneticPr fontId="1" type="noConversion"/>
  </si>
  <si>
    <t>00598317</t>
  </si>
  <si>
    <t>하이넷 칠곡휴게소(부산방향) 수소충전소</t>
    <phoneticPr fontId="1" type="noConversion"/>
  </si>
  <si>
    <t>칠곡 왜관</t>
    <phoneticPr fontId="1" type="noConversion"/>
  </si>
  <si>
    <t>경북</t>
    <phoneticPr fontId="1" type="noConversion"/>
  </si>
  <si>
    <t>02465436</t>
  </si>
  <si>
    <t>강원도원주수소충전소</t>
    <phoneticPr fontId="1" type="noConversion"/>
  </si>
  <si>
    <t>원주 문막</t>
    <phoneticPr fontId="1" type="noConversion"/>
  </si>
  <si>
    <t>경북 칠곡군 왜관읍 아곡리 323-1</t>
    <phoneticPr fontId="1" type="noConversion"/>
  </si>
  <si>
    <t>강원 원주시 문막읍 원문로 1320</t>
    <phoneticPr fontId="1" type="noConversion"/>
  </si>
  <si>
    <t>02414388</t>
  </si>
  <si>
    <t>진운주유소</t>
    <phoneticPr fontId="1" type="noConversion"/>
  </si>
  <si>
    <t>청주 문의 수소충전소</t>
    <phoneticPr fontId="1" type="noConversion"/>
  </si>
  <si>
    <t>청주 문의</t>
    <phoneticPr fontId="1" type="noConversion"/>
  </si>
  <si>
    <t>충북</t>
    <phoneticPr fontId="1" type="noConversion"/>
  </si>
  <si>
    <t>충북 청주시 상당구 문의면 미천고은로 61</t>
    <phoneticPr fontId="1" type="noConversion"/>
  </si>
  <si>
    <t>02490132</t>
  </si>
  <si>
    <t>문의 IC LPG충전소</t>
    <phoneticPr fontId="1" type="noConversion"/>
  </si>
  <si>
    <t>2017-04-26
2022-03-21</t>
    <phoneticPr fontId="1" type="noConversion"/>
  </si>
  <si>
    <t>진천IC 수소충전소</t>
    <phoneticPr fontId="1" type="noConversion"/>
  </si>
  <si>
    <t>충북 진천</t>
    <phoneticPr fontId="1" type="noConversion"/>
  </si>
  <si>
    <t>진천IC충전소</t>
    <phoneticPr fontId="1" type="noConversion"/>
  </si>
  <si>
    <t>충북 진천군 진천읍 상신리 396-14, 396-28, 396-29, 396-79, 송두리 152-2</t>
    <phoneticPr fontId="1" type="noConversion"/>
  </si>
  <si>
    <t>02472844</t>
  </si>
  <si>
    <t>K-수소철도 오송충전소</t>
    <phoneticPr fontId="1" type="noConversion"/>
  </si>
  <si>
    <t>세종 전동</t>
    <phoneticPr fontId="1" type="noConversion"/>
  </si>
  <si>
    <t>02491319</t>
  </si>
  <si>
    <t>우진기전㈜</t>
    <phoneticPr fontId="1" type="noConversion"/>
  </si>
  <si>
    <t>하이넷 당진수소출하센터 [이동식 수소자동차 충전소]</t>
    <phoneticPr fontId="1" type="noConversion"/>
  </si>
  <si>
    <t>충남 당진시 송산면 동곡리 358-2</t>
  </si>
  <si>
    <t>02462862</t>
  </si>
  <si>
    <t>서울동부</t>
    <phoneticPr fontId="1" type="noConversion"/>
  </si>
  <si>
    <t>현대로템</t>
    <phoneticPr fontId="1" type="noConversion"/>
  </si>
  <si>
    <t>삼척 교동</t>
    <phoneticPr fontId="1" type="noConversion"/>
  </si>
  <si>
    <t>강원 삼척시 교동 산208, 산209, 295, 296, 산210-1</t>
    <phoneticPr fontId="1" type="noConversion"/>
  </si>
  <si>
    <t>02449783</t>
  </si>
  <si>
    <t>제아이엔지</t>
    <phoneticPr fontId="1" type="noConversion"/>
  </si>
  <si>
    <t>경남 창원시 성산구 대원동 89</t>
    <phoneticPr fontId="1" type="noConversion"/>
  </si>
  <si>
    <t>02473039</t>
  </si>
  <si>
    <t>하이넷 김천휴게소(서울) 수소충전소</t>
    <phoneticPr fontId="1" type="noConversion"/>
  </si>
  <si>
    <t>경북 김천시 능소면 신촌리 728-1, 산9-1</t>
    <phoneticPr fontId="1" type="noConversion"/>
  </si>
  <si>
    <t>TATSUNO
(DM)</t>
    <phoneticPr fontId="1" type="noConversion"/>
  </si>
  <si>
    <t>서울서부</t>
    <phoneticPr fontId="1" type="noConversion"/>
  </si>
  <si>
    <t>02429209</t>
  </si>
  <si>
    <t>2021-06-15
2022-01-07
2022-08-12</t>
    <phoneticPr fontId="1" type="noConversion"/>
  </si>
  <si>
    <t>서울 중구 덕수궁길 15 서울특별시 서소문청사 내</t>
    <phoneticPr fontId="1" type="noConversion"/>
  </si>
  <si>
    <t>02484958</t>
  </si>
  <si>
    <t>김천 능소</t>
    <phoneticPr fontId="1" type="noConversion"/>
  </si>
  <si>
    <t>세종</t>
    <phoneticPr fontId="1" type="noConversion"/>
  </si>
  <si>
    <t>튜브트레일러, 개질(NG)</t>
    <phoneticPr fontId="1" type="noConversion"/>
  </si>
  <si>
    <t>튜브트레일러, 개질(NG),
(용기충전+자동차 충전)</t>
    <phoneticPr fontId="1" type="noConversion"/>
  </si>
  <si>
    <t>평택시 월곡 수소버스충전소</t>
    <phoneticPr fontId="1" type="noConversion"/>
  </si>
  <si>
    <t>평택 월곡</t>
    <phoneticPr fontId="1" type="noConversion"/>
  </si>
  <si>
    <t>엔케이텍㈜</t>
    <phoneticPr fontId="1" type="noConversion"/>
  </si>
  <si>
    <t>충주수소버스충전소</t>
    <phoneticPr fontId="1" type="noConversion"/>
  </si>
  <si>
    <t>충주 목행</t>
    <phoneticPr fontId="1" type="noConversion"/>
  </si>
  <si>
    <t>광주 매월</t>
    <phoneticPr fontId="1" type="noConversion"/>
  </si>
  <si>
    <t>02459995</t>
  </si>
  <si>
    <t>경기 평택시 월곡동 378-2</t>
    <phoneticPr fontId="1" type="noConversion"/>
  </si>
  <si>
    <t>02441142</t>
  </si>
  <si>
    <t>02473832</t>
  </si>
  <si>
    <t>광주 서구 매월동 367-4, 367-5, 367-10</t>
    <phoneticPr fontId="1" type="noConversion"/>
  </si>
  <si>
    <t>2021-06-22
2022-09-20</t>
    <phoneticPr fontId="1" type="noConversion"/>
  </si>
  <si>
    <t>충북 충주시 목행동 산68, 산69-5, 산69-6, 45-1, 850-57, 45-6</t>
    <phoneticPr fontId="1" type="noConversion"/>
  </si>
  <si>
    <t>2021-12-06
2022-07-13</t>
    <phoneticPr fontId="1" type="noConversion"/>
  </si>
  <si>
    <t>하이넷 경주 충효 수소충전소</t>
    <phoneticPr fontId="1" type="noConversion"/>
  </si>
  <si>
    <t>경주 충효</t>
    <phoneticPr fontId="1" type="noConversion"/>
  </si>
  <si>
    <t>경북 경주시 충효동 1534, 1539-4</t>
    <phoneticPr fontId="1" type="noConversion"/>
  </si>
  <si>
    <t>경북동부</t>
    <phoneticPr fontId="1" type="noConversion"/>
  </si>
  <si>
    <t>02467025</t>
  </si>
  <si>
    <t>(주)금아리무진행복충전소</t>
    <phoneticPr fontId="1" type="noConversion"/>
  </si>
  <si>
    <t>서울 서소문청사</t>
    <phoneticPr fontId="1" type="noConversion"/>
  </si>
  <si>
    <t>청주(서울)휴게소 수소충전소</t>
    <phoneticPr fontId="1" type="noConversion"/>
  </si>
  <si>
    <t>청주 옥산</t>
    <phoneticPr fontId="1" type="noConversion"/>
  </si>
  <si>
    <t>(주)썬엘청주(서울)주유소</t>
    <phoneticPr fontId="1" type="noConversion"/>
  </si>
  <si>
    <t>충북 청주시 흥덕구 옥산면 장남리 산1-2, 사정리 산1-3, 산1-4</t>
    <phoneticPr fontId="1" type="noConversion"/>
  </si>
  <si>
    <t>02492153</t>
  </si>
  <si>
    <t>하이넷 인천 연희 수소충전소</t>
    <phoneticPr fontId="1" type="noConversion"/>
  </si>
  <si>
    <t>인천 연희</t>
    <phoneticPr fontId="1" type="noConversion"/>
  </si>
  <si>
    <t>02469852</t>
  </si>
  <si>
    <t>2021-12-03
2022-02-25</t>
    <phoneticPr fontId="1" type="noConversion"/>
  </si>
  <si>
    <t>에스피지 여수공장</t>
    <phoneticPr fontId="1" type="noConversion"/>
  </si>
  <si>
    <t>유한회사 하은에너지</t>
    <phoneticPr fontId="1" type="noConversion"/>
  </si>
  <si>
    <t>SK에너지 (재)라인45</t>
    <phoneticPr fontId="1" type="noConversion"/>
  </si>
  <si>
    <t>신탄진휴게소(서울)주유소</t>
    <phoneticPr fontId="1" type="noConversion"/>
  </si>
  <si>
    <t>광교CNG충전소</t>
  </si>
  <si>
    <t>거룡LPG충전소</t>
    <phoneticPr fontId="1" type="noConversion"/>
  </si>
  <si>
    <t>JB㈜</t>
    <phoneticPr fontId="1" type="noConversion"/>
  </si>
  <si>
    <t>키다리식품</t>
    <phoneticPr fontId="1" type="noConversion"/>
  </si>
  <si>
    <t>대현유통</t>
    <phoneticPr fontId="1" type="noConversion"/>
  </si>
  <si>
    <t>대천유통㈜(서울방향)주유소</t>
    <phoneticPr fontId="1" type="noConversion"/>
  </si>
  <si>
    <t>토평고려LPG충전소</t>
    <phoneticPr fontId="1" type="noConversion"/>
  </si>
  <si>
    <t>유남석유 칠곡(부산방향)주유소</t>
    <phoneticPr fontId="1" type="noConversion"/>
  </si>
  <si>
    <t>현대서부서비스</t>
    <phoneticPr fontId="1" type="noConversion"/>
  </si>
  <si>
    <t>진성에이치</t>
    <phoneticPr fontId="1" type="noConversion"/>
  </si>
  <si>
    <t>동남에너지</t>
    <phoneticPr fontId="1" type="noConversion"/>
  </si>
  <si>
    <t>㈜SPC삼립</t>
    <phoneticPr fontId="1" type="noConversion"/>
  </si>
  <si>
    <t>선진운수</t>
    <phoneticPr fontId="1" type="noConversion"/>
  </si>
  <si>
    <t>하이넷 해운대 수소충전소</t>
    <phoneticPr fontId="1" type="noConversion"/>
  </si>
  <si>
    <t>부산 해운대</t>
    <phoneticPr fontId="1" type="noConversion"/>
  </si>
  <si>
    <t>부산 해운대구 송정동 77-7,77-3,77-8,78-1,78-2,79-1</t>
    <phoneticPr fontId="1" type="noConversion"/>
  </si>
  <si>
    <t>인천 서구 연희동 211-3, 211-14</t>
    <phoneticPr fontId="1" type="noConversion"/>
  </si>
  <si>
    <t>세종 전동면 심중리 189번지 외 7필지</t>
    <phoneticPr fontId="1" type="noConversion"/>
  </si>
  <si>
    <t>부산</t>
    <phoneticPr fontId="1" type="noConversion"/>
  </si>
  <si>
    <t>02421958</t>
  </si>
  <si>
    <t>안성 서운</t>
    <phoneticPr fontId="1" type="noConversion"/>
  </si>
  <si>
    <t>경기 안성시 서운면 신능리 51-10 외 5필지(51-11, 51-13, 51-14, 51-17, 51-18)</t>
    <phoneticPr fontId="1" type="noConversion"/>
  </si>
  <si>
    <t>02491718</t>
  </si>
  <si>
    <t>충주 이동식 수소충전소</t>
    <phoneticPr fontId="1" type="noConversion"/>
  </si>
  <si>
    <t>충주 대소원</t>
    <phoneticPr fontId="1" type="noConversion"/>
  </si>
  <si>
    <t>충북 충주시 대소원면 영평리 516</t>
    <phoneticPr fontId="1" type="noConversion"/>
  </si>
  <si>
    <t>02407903</t>
  </si>
  <si>
    <t>강원 춘천시 동내면 학곡리 848 외32필지</t>
    <phoneticPr fontId="1" type="noConversion"/>
  </si>
  <si>
    <t>충북테크노파크</t>
    <phoneticPr fontId="1" type="noConversion"/>
  </si>
  <si>
    <t>코하이젠 전주 평화 수소충전소</t>
    <phoneticPr fontId="1" type="noConversion"/>
  </si>
  <si>
    <t>전주 평화</t>
    <phoneticPr fontId="1" type="noConversion"/>
  </si>
  <si>
    <t>코하이젠</t>
    <phoneticPr fontId="1" type="noConversion"/>
  </si>
  <si>
    <t>전북 전주시 완산구 평화동 3가 264-13</t>
    <phoneticPr fontId="1" type="noConversion"/>
  </si>
  <si>
    <t>02466640</t>
  </si>
  <si>
    <t>2021-11-29
2022-04-06</t>
    <phoneticPr fontId="1" type="noConversion"/>
  </si>
  <si>
    <t>춘천동내수소충전소</t>
    <phoneticPr fontId="1" type="noConversion"/>
  </si>
  <si>
    <t>2020-04-08
2022-01-21</t>
    <phoneticPr fontId="1" type="noConversion"/>
  </si>
  <si>
    <t>전기차 복합</t>
    <phoneticPr fontId="1" type="noConversion"/>
  </si>
  <si>
    <t>경기 화성시 팔탄면 구장리 3-49, 창곡리 1034-2</t>
    <phoneticPr fontId="1" type="noConversion"/>
  </si>
  <si>
    <t>02324064</t>
  </si>
  <si>
    <t>2019-12-13
2021-06-10
2022-11-11</t>
    <phoneticPr fontId="1" type="noConversion"/>
  </si>
  <si>
    <t>금영이엔지</t>
    <phoneticPr fontId="1" type="noConversion"/>
  </si>
  <si>
    <t>2019-06-14
2021-11-26</t>
    <phoneticPr fontId="1" type="noConversion"/>
  </si>
  <si>
    <t>2019-04-08
2021-07-20</t>
    <phoneticPr fontId="1" type="noConversion"/>
  </si>
  <si>
    <t>2017-07-06
2022-06-07</t>
    <phoneticPr fontId="1" type="noConversion"/>
  </si>
  <si>
    <t>대전 유성구 가정로 152</t>
    <phoneticPr fontId="1" type="noConversion"/>
  </si>
  <si>
    <t>00000660</t>
    <phoneticPr fontId="1" type="noConversion"/>
  </si>
  <si>
    <t>SK에너지</t>
    <phoneticPr fontId="1" type="noConversion"/>
  </si>
  <si>
    <t>2006-01-04</t>
    <phoneticPr fontId="1" type="noConversion"/>
  </si>
  <si>
    <t>2021-03-15
2022-10-11
2022-11-24</t>
    <phoneticPr fontId="1" type="noConversion"/>
  </si>
  <si>
    <t>2021-04-29
2022-09-30</t>
    <phoneticPr fontId="1" type="noConversion"/>
  </si>
  <si>
    <t>고흥군 수소충전소</t>
    <phoneticPr fontId="1" type="noConversion"/>
  </si>
  <si>
    <t>고흥 영남</t>
    <phoneticPr fontId="1" type="noConversion"/>
  </si>
  <si>
    <t>전남 고흥군 영남면 우천리 265-1, 376-1, 1426, 267-1, 265-2, 266-3, 263-2, 1446, 261-2, 261-3, 266, 산1-40, 산1-41, 산1-42</t>
    <phoneticPr fontId="1" type="noConversion"/>
  </si>
  <si>
    <t>02467760</t>
  </si>
  <si>
    <t>2020-03-19
2022-12-02</t>
    <phoneticPr fontId="1" type="noConversion"/>
  </si>
  <si>
    <t>2010-03-18
2020-11-03
2021-12-17</t>
    <phoneticPr fontId="1" type="noConversion"/>
  </si>
  <si>
    <t>하이넷 의왕 왕곡 수소충전소</t>
    <phoneticPr fontId="1" type="noConversion"/>
  </si>
  <si>
    <t>의왕 왕곡</t>
    <phoneticPr fontId="1" type="noConversion"/>
  </si>
  <si>
    <t>의왕가스충전소</t>
    <phoneticPr fontId="1" type="noConversion"/>
  </si>
  <si>
    <t>경기 의왕시 경수대로 75</t>
    <phoneticPr fontId="1" type="noConversion"/>
  </si>
  <si>
    <t>02482460</t>
  </si>
  <si>
    <t>2022-02-28
2022-10-19</t>
    <phoneticPr fontId="1" type="noConversion"/>
  </si>
  <si>
    <t>광주 서구 눌재로 589(벽진동 628-1)</t>
    <phoneticPr fontId="1" type="noConversion"/>
  </si>
  <si>
    <t>2020-10-08
2021-05-25
2021-06-10
2022-05-13</t>
    <phoneticPr fontId="1" type="noConversion"/>
  </si>
  <si>
    <t>하이넷 여수 둔덕 수소충전소</t>
    <phoneticPr fontId="1" type="noConversion"/>
  </si>
  <si>
    <t>여수 둔덕</t>
    <phoneticPr fontId="1" type="noConversion"/>
  </si>
  <si>
    <t>전남 여수시 둔덕동 290-9, 290-6, 409-2</t>
    <phoneticPr fontId="1" type="noConversion"/>
  </si>
  <si>
    <t>02467844</t>
  </si>
  <si>
    <t>현대제철(주)당진제철소 차량용 수소자동차충전소</t>
    <phoneticPr fontId="1" type="noConversion"/>
  </si>
  <si>
    <t>당진 송산</t>
    <phoneticPr fontId="1" type="noConversion"/>
  </si>
  <si>
    <t>02490035</t>
  </si>
  <si>
    <t>현대제철(주)당진제철소</t>
    <phoneticPr fontId="1" type="noConversion"/>
  </si>
  <si>
    <t>충남 당진시 송산면 동곡리 358 (송산2 일반산업단지 D16블럭)</t>
    <phoneticPr fontId="1" type="noConversion"/>
  </si>
  <si>
    <t>하이넷 전주 송천 수소충전소</t>
    <phoneticPr fontId="1" type="noConversion"/>
  </si>
  <si>
    <t>2019-10-11
2022-12-02</t>
    <phoneticPr fontId="1" type="noConversion"/>
  </si>
  <si>
    <t>둔덕LPG충전소</t>
    <phoneticPr fontId="1" type="noConversion"/>
  </si>
  <si>
    <t>2020-03-11
2022-11-11</t>
    <phoneticPr fontId="1" type="noConversion"/>
  </si>
  <si>
    <t>벽진 수소충전소</t>
    <phoneticPr fontId="1" type="noConversion"/>
  </si>
  <si>
    <t>광주 북구 월출동 987</t>
    <phoneticPr fontId="1" type="noConversion"/>
  </si>
  <si>
    <t>경기 안산시 상록구 사사동 181-6외 2필지(181-3,181-22)</t>
    <phoneticPr fontId="1" type="noConversion"/>
  </si>
  <si>
    <t>경기 고양시 덕양구 원당동 234-1</t>
    <phoneticPr fontId="1" type="noConversion"/>
  </si>
  <si>
    <t>2019-09-18
2022-09-07</t>
    <phoneticPr fontId="1" type="noConversion"/>
  </si>
  <si>
    <t>2019-03-07
2022-10-19</t>
    <phoneticPr fontId="1" type="noConversion"/>
  </si>
  <si>
    <t>마산 양덕</t>
    <phoneticPr fontId="1" type="noConversion"/>
  </si>
  <si>
    <t>경남 창원시 마산회원구 양덕동 975-7</t>
    <phoneticPr fontId="1" type="noConversion"/>
  </si>
  <si>
    <t>2021-01-05
2022-09-23</t>
    <phoneticPr fontId="1" type="noConversion"/>
  </si>
  <si>
    <t>개질(NG)</t>
    <phoneticPr fontId="1" type="noConversion"/>
  </si>
  <si>
    <r>
      <t xml:space="preserve">대전 대덕구 신대동 </t>
    </r>
    <r>
      <rPr>
        <sz val="10"/>
        <color rgb="FF000000"/>
        <rFont val="굴림"/>
        <family val="3"/>
        <charset val="129"/>
      </rPr>
      <t>4-1</t>
    </r>
    <r>
      <rPr>
        <sz val="10"/>
        <color rgb="FF000000"/>
        <rFont val="맑은 고딕"/>
        <family val="3"/>
        <charset val="129"/>
        <scheme val="minor"/>
      </rPr>
      <t xml:space="preserve">외 </t>
    </r>
    <r>
      <rPr>
        <sz val="10"/>
        <color rgb="FF000000"/>
        <rFont val="굴림"/>
        <family val="3"/>
        <charset val="129"/>
      </rPr>
      <t>19</t>
    </r>
    <r>
      <rPr>
        <sz val="10"/>
        <color rgb="FF000000"/>
        <rFont val="맑은 고딕"/>
        <family val="3"/>
        <charset val="129"/>
        <scheme val="minor"/>
      </rPr>
      <t>필지</t>
    </r>
    <phoneticPr fontId="1" type="noConversion"/>
  </si>
  <si>
    <r>
      <t xml:space="preserve">대전 유성구 자운동 </t>
    </r>
    <r>
      <rPr>
        <sz val="10"/>
        <color rgb="FF000000"/>
        <rFont val="굴림"/>
        <family val="3"/>
        <charset val="129"/>
      </rPr>
      <t>280</t>
    </r>
    <phoneticPr fontId="1" type="noConversion"/>
  </si>
  <si>
    <t>대전 중구 중촌동 413-43</t>
    <phoneticPr fontId="1" type="noConversion"/>
  </si>
  <si>
    <t>02512339</t>
  </si>
  <si>
    <t>하이넷 대전 삼정 수소충전소</t>
    <phoneticPr fontId="1" type="noConversion"/>
  </si>
  <si>
    <t>하이넷 화성 비봉 수소충전소</t>
    <phoneticPr fontId="1" type="noConversion"/>
  </si>
  <si>
    <t>대전 삼정</t>
    <phoneticPr fontId="1" type="noConversion"/>
  </si>
  <si>
    <t>강릉 홍제</t>
    <phoneticPr fontId="1" type="noConversion"/>
  </si>
  <si>
    <t>화성 비봉</t>
    <phoneticPr fontId="1" type="noConversion"/>
  </si>
  <si>
    <t>대전 동구 옥천로 309</t>
    <phoneticPr fontId="1" type="noConversion"/>
  </si>
  <si>
    <t>강원 강릉시 홍제동 100</t>
    <phoneticPr fontId="1" type="noConversion"/>
  </si>
  <si>
    <t>경기 화성시 비봉면 구포리 35</t>
    <phoneticPr fontId="1" type="noConversion"/>
  </si>
  <si>
    <t>2022-01-21
2022-12-02</t>
    <phoneticPr fontId="1" type="noConversion"/>
  </si>
  <si>
    <t>2022-07-05
2023-01-18</t>
    <phoneticPr fontId="1" type="noConversion"/>
  </si>
  <si>
    <t>판암IC LPG충전소</t>
    <phoneticPr fontId="1" type="noConversion"/>
  </si>
  <si>
    <t>02480862</t>
    <phoneticPr fontId="1" type="noConversion"/>
  </si>
  <si>
    <t>02503923</t>
    <phoneticPr fontId="1" type="noConversion"/>
  </si>
  <si>
    <t>㈜한일에너지</t>
    <phoneticPr fontId="1" type="noConversion"/>
  </si>
  <si>
    <t>02460086</t>
    <phoneticPr fontId="1" type="noConversion"/>
  </si>
  <si>
    <t>울산 상개</t>
    <phoneticPr fontId="1" type="noConversion"/>
  </si>
  <si>
    <t>울산</t>
    <phoneticPr fontId="1" type="noConversion"/>
  </si>
  <si>
    <t>울산 남구 상개동 50</t>
    <phoneticPr fontId="1" type="noConversion"/>
  </si>
  <si>
    <t>02492650</t>
    <phoneticPr fontId="1" type="noConversion"/>
  </si>
  <si>
    <t>합천 대양</t>
    <phoneticPr fontId="1" type="noConversion"/>
  </si>
  <si>
    <t>볼보그룹코리아㈜</t>
    <phoneticPr fontId="1" type="noConversion"/>
  </si>
  <si>
    <t>경남 합천시 대양면 대목리 1108, 1111</t>
    <phoneticPr fontId="1" type="noConversion"/>
  </si>
  <si>
    <t>02524689</t>
    <phoneticPr fontId="1" type="noConversion"/>
  </si>
  <si>
    <t>SK 내트럭</t>
    <phoneticPr fontId="1" type="noConversion"/>
  </si>
  <si>
    <t>내트럭(주)인천사업소(인천NTH수소충전소)</t>
    <phoneticPr fontId="1" type="noConversion"/>
  </si>
  <si>
    <t>인천 중구 신흥동3가 70</t>
    <phoneticPr fontId="1" type="noConversion"/>
  </si>
  <si>
    <t>02491705</t>
    <phoneticPr fontId="1" type="noConversion"/>
  </si>
  <si>
    <t>내트럭(주)인천사업소</t>
    <phoneticPr fontId="1" type="noConversion"/>
  </si>
  <si>
    <t>아이에스티이</t>
    <phoneticPr fontId="1" type="noConversion"/>
  </si>
  <si>
    <t>제이엔케이히터(주)</t>
  </si>
  <si>
    <t>넬코리아
제이엔케이히터(주)</t>
  </si>
  <si>
    <t>광신기계공업(주)</t>
  </si>
  <si>
    <t>효성중공업(주)</t>
  </si>
  <si>
    <t>이엠솔루션, 효성중공업(주)</t>
  </si>
  <si>
    <t>대전 대성</t>
    <phoneticPr fontId="1" type="noConversion"/>
  </si>
  <si>
    <t>코하이젠 창원 성주 수소충전소</t>
    <phoneticPr fontId="1" type="noConversion"/>
  </si>
  <si>
    <t>경남 창원시 성산구 성주동 181</t>
    <phoneticPr fontId="1" type="noConversion"/>
  </si>
  <si>
    <t>2021-11-03
2023-03-15</t>
    <phoneticPr fontId="1" type="noConversion"/>
  </si>
  <si>
    <t>안동(춘천)휴게소 수소충전소</t>
    <phoneticPr fontId="1" type="noConversion"/>
  </si>
  <si>
    <t>안동 풍산</t>
    <phoneticPr fontId="1" type="noConversion"/>
  </si>
  <si>
    <t>경북 안동시 풍산읍 계평리 산 133-4</t>
    <phoneticPr fontId="1" type="noConversion"/>
  </si>
  <si>
    <t>02510868</t>
  </si>
  <si>
    <t>제이엔케이히터(주)</t>
    <phoneticPr fontId="1" type="noConversion"/>
  </si>
  <si>
    <t>보령시 수소충전소</t>
    <phoneticPr fontId="1" type="noConversion"/>
  </si>
  <si>
    <t>보령 내항</t>
    <phoneticPr fontId="1" type="noConversion"/>
  </si>
  <si>
    <t>02505927</t>
    <phoneticPr fontId="1" type="noConversion"/>
  </si>
  <si>
    <t>충남 보령시 내항동 256-3, 255-3</t>
    <phoneticPr fontId="1" type="noConversion"/>
  </si>
  <si>
    <t>02462109</t>
    <phoneticPr fontId="1" type="noConversion"/>
  </si>
  <si>
    <t>동부산공영수소버스충전소</t>
    <phoneticPr fontId="1" type="noConversion"/>
  </si>
  <si>
    <t>부산 기장</t>
    <phoneticPr fontId="1" type="noConversion"/>
  </si>
  <si>
    <t>부산 기장군 기장읍 청강리 416</t>
    <phoneticPr fontId="1" type="noConversion"/>
  </si>
  <si>
    <t>02438219</t>
  </si>
  <si>
    <t>2021-07-07
2022-02-17</t>
    <phoneticPr fontId="1" type="noConversion"/>
  </si>
  <si>
    <t>용인 기흥
(기흥休)</t>
    <phoneticPr fontId="1" type="noConversion"/>
  </si>
  <si>
    <t>((주)한준에너지)</t>
    <phoneticPr fontId="1" type="noConversion"/>
  </si>
  <si>
    <t>기흥휴게소 수소충전소</t>
    <phoneticPr fontId="1" type="noConversion"/>
  </si>
  <si>
    <t>02512492</t>
  </si>
  <si>
    <t>02514408</t>
  </si>
  <si>
    <t>경기 용인시 기흥구 공세동 263-6, 269, 277-7</t>
    <phoneticPr fontId="1" type="noConversion"/>
  </si>
  <si>
    <t>경기 평택시 포승읍 만호리 611-1</t>
    <phoneticPr fontId="1" type="noConversion"/>
  </si>
  <si>
    <t>평택항 수소교통복합기지 수소충전소</t>
    <phoneticPr fontId="1" type="noConversion"/>
  </si>
  <si>
    <t>평택 포승</t>
    <phoneticPr fontId="1" type="noConversion"/>
  </si>
  <si>
    <t>2022-09-29
2023-04-13</t>
    <phoneticPr fontId="1" type="noConversion"/>
  </si>
  <si>
    <t>광신기계공업(주)</t>
    <phoneticPr fontId="1" type="noConversion"/>
  </si>
  <si>
    <t>하이넷 음성 맹동 수소충전소</t>
    <phoneticPr fontId="1" type="noConversion"/>
  </si>
  <si>
    <t>음성 맹동</t>
    <phoneticPr fontId="1" type="noConversion"/>
  </si>
  <si>
    <t>충북 음성군 맹동면 쌍정리 757</t>
    <phoneticPr fontId="1" type="noConversion"/>
  </si>
  <si>
    <t>02524462</t>
  </si>
  <si>
    <t>효성중공업(주)</t>
    <phoneticPr fontId="1" type="noConversion"/>
  </si>
  <si>
    <t>부안 곰소 수소충전소</t>
    <phoneticPr fontId="1" type="noConversion"/>
  </si>
  <si>
    <t>부안 곰소</t>
    <phoneticPr fontId="1" type="noConversion"/>
  </si>
  <si>
    <t>전북 부안군 진서면 곰소리 2-2</t>
    <phoneticPr fontId="1" type="noConversion"/>
  </si>
  <si>
    <t>02530702</t>
    <phoneticPr fontId="1" type="noConversion"/>
  </si>
  <si>
    <t>제주</t>
    <phoneticPr fontId="1" type="noConversion"/>
  </si>
  <si>
    <t>제주 제주시 함와로 170</t>
    <phoneticPr fontId="1" type="noConversion"/>
  </si>
  <si>
    <t>02520849</t>
  </si>
  <si>
    <t>제주본부</t>
    <phoneticPr fontId="1" type="noConversion"/>
  </si>
  <si>
    <t>하이리움산업</t>
    <phoneticPr fontId="1" type="noConversion"/>
  </si>
  <si>
    <t>대도하이젠㈜ 동삼동 수소충전소</t>
    <phoneticPr fontId="1" type="noConversion"/>
  </si>
  <si>
    <t>부산 영도</t>
    <phoneticPr fontId="1" type="noConversion"/>
  </si>
  <si>
    <t>강원 횡성</t>
    <phoneticPr fontId="1" type="noConversion"/>
  </si>
  <si>
    <t>02520846</t>
  </si>
  <si>
    <t>부산 영도구 동삼동 186-3 외4필지</t>
    <phoneticPr fontId="1" type="noConversion"/>
  </si>
  <si>
    <t>(주)횡성수소충전발전소</t>
  </si>
  <si>
    <t>02526265</t>
  </si>
  <si>
    <t>강원 횡성군 묵계리 176, 176-6, 176-15, 176-16</t>
    <phoneticPr fontId="1" type="noConversion"/>
  </si>
  <si>
    <t>코하이젠 여수주삼 수소충전소</t>
    <phoneticPr fontId="1" type="noConversion"/>
  </si>
  <si>
    <t>여수 주삼</t>
    <phoneticPr fontId="1" type="noConversion"/>
  </si>
  <si>
    <t>전남 여수시 주삼동 1029-4</t>
    <phoneticPr fontId="1" type="noConversion"/>
  </si>
  <si>
    <t>02479867</t>
  </si>
  <si>
    <t>2022-02-28
2023-05-10</t>
    <phoneticPr fontId="1" type="noConversion"/>
  </si>
  <si>
    <t>(재)창원산업진흥원 창원터널 수소충전소</t>
    <phoneticPr fontId="1" type="noConversion"/>
  </si>
  <si>
    <t>창원 불모산</t>
    <phoneticPr fontId="1" type="noConversion"/>
  </si>
  <si>
    <t>02497337</t>
    <phoneticPr fontId="1" type="noConversion"/>
  </si>
  <si>
    <t>2022-06-07
2023-07-10</t>
    <phoneticPr fontId="1" type="noConversion"/>
  </si>
  <si>
    <t>2021-03-23
2023-03-07</t>
    <phoneticPr fontId="1" type="noConversion"/>
  </si>
  <si>
    <t>도봉 수소충전소</t>
    <phoneticPr fontId="1" type="noConversion"/>
  </si>
  <si>
    <t>서울 도봉</t>
    <phoneticPr fontId="1" type="noConversion"/>
  </si>
  <si>
    <t>청화자원</t>
    <phoneticPr fontId="1" type="noConversion"/>
  </si>
  <si>
    <t>02464084</t>
    <phoneticPr fontId="1" type="noConversion"/>
  </si>
  <si>
    <t>하이넷 장흥정남진휴게소 수소충전소</t>
    <phoneticPr fontId="1" type="noConversion"/>
  </si>
  <si>
    <t>장흥 정남진休</t>
    <phoneticPr fontId="1" type="noConversion"/>
  </si>
  <si>
    <t>경남 창원시 성산구 불모산동 463-2 외 5필지</t>
    <phoneticPr fontId="1" type="noConversion"/>
  </si>
  <si>
    <t>서울 도봉구 도봉동 378, 377, 375-1, 375-2, 375, 374</t>
    <phoneticPr fontId="1" type="noConversion"/>
  </si>
  <si>
    <t>02519022</t>
    <phoneticPr fontId="1" type="noConversion"/>
  </si>
  <si>
    <t>전남 장흥군 부산면 호계리 269-4 외 1필지</t>
    <phoneticPr fontId="1" type="noConversion"/>
  </si>
  <si>
    <t>전남서부</t>
    <phoneticPr fontId="1" type="noConversion"/>
  </si>
  <si>
    <t>2020-02-03
2021-06-02
2023-05-22</t>
    <phoneticPr fontId="1" type="noConversion"/>
  </si>
  <si>
    <t>02509279</t>
  </si>
  <si>
    <t>청주 성일 수소충전소</t>
    <phoneticPr fontId="1" type="noConversion"/>
  </si>
  <si>
    <t>청주 남이</t>
    <phoneticPr fontId="1" type="noConversion"/>
  </si>
  <si>
    <t>충북 청주시 서원구 남이면 부용외천리 468-1 외 3필지(471, 471-3, 1124-1)</t>
    <phoneticPr fontId="1" type="noConversion"/>
  </si>
  <si>
    <t>성일주유소</t>
    <phoneticPr fontId="1" type="noConversion"/>
  </si>
  <si>
    <t>건설기계부품연구원 수소충전소</t>
    <phoneticPr fontId="1" type="noConversion"/>
  </si>
  <si>
    <t>군산 나포</t>
    <phoneticPr fontId="1" type="noConversion"/>
  </si>
  <si>
    <t>건설기계부품연구원</t>
    <phoneticPr fontId="1" type="noConversion"/>
  </si>
  <si>
    <t>02315522</t>
  </si>
  <si>
    <t>전북 군산시 나포면 나포리 851</t>
    <phoneticPr fontId="1" type="noConversion"/>
  </si>
  <si>
    <t>비케이에너지(주) 양산석산 수소자동차충전소</t>
    <phoneticPr fontId="1" type="noConversion"/>
  </si>
  <si>
    <t>양산 석산</t>
    <phoneticPr fontId="1" type="noConversion"/>
  </si>
  <si>
    <t>비케이에너지</t>
    <phoneticPr fontId="1" type="noConversion"/>
  </si>
  <si>
    <t>경남 양산시 동면 석산리 1106-6 외 9필지</t>
    <phoneticPr fontId="1" type="noConversion"/>
  </si>
  <si>
    <t>02517531</t>
  </si>
  <si>
    <t>한국자동차연구원 부품실증형 수소충전소</t>
    <phoneticPr fontId="1" type="noConversion"/>
  </si>
  <si>
    <t>창원 상복</t>
    <phoneticPr fontId="1" type="noConversion"/>
  </si>
  <si>
    <t>경남 창원시 성산구 상복동 창원국가산업단지확장구역 A5 블럭 로트</t>
    <phoneticPr fontId="1" type="noConversion"/>
  </si>
  <si>
    <t>02426429</t>
  </si>
  <si>
    <t>2021-06-11
2022-01-26</t>
    <phoneticPr fontId="1" type="noConversion"/>
  </si>
  <si>
    <t>비케이에너지 석산주유소</t>
    <phoneticPr fontId="1" type="noConversion"/>
  </si>
  <si>
    <t>강서공영차고지 수소버스충전소</t>
    <phoneticPr fontId="1" type="noConversion"/>
  </si>
  <si>
    <t>부산 강서구 화전동 산77-1, 산76, 산75, 산74, 산80, 산89-1, 산79-2, 산78, 산79-1, 산79, 산81, 산81-2, 313-14, 313-6, 301, 302</t>
    <phoneticPr fontId="1" type="noConversion"/>
  </si>
  <si>
    <t>전주 유성 LPG &amp; 수소충전소</t>
    <phoneticPr fontId="1" type="noConversion"/>
  </si>
  <si>
    <t>전주 유성</t>
    <phoneticPr fontId="1" type="noConversion"/>
  </si>
  <si>
    <t>전주유성LPG충전소</t>
    <phoneticPr fontId="1" type="noConversion"/>
  </si>
  <si>
    <t>02535190</t>
    <phoneticPr fontId="1" type="noConversion"/>
  </si>
  <si>
    <t>전북 전주시 완산구 춘향로 4981 외 4필지</t>
    <phoneticPr fontId="1" type="noConversion"/>
  </si>
  <si>
    <t>02524686</t>
    <phoneticPr fontId="1" type="noConversion"/>
  </si>
  <si>
    <t>코하이젠 양주 회정 수소충전소</t>
    <phoneticPr fontId="1" type="noConversion"/>
  </si>
  <si>
    <t>양주 회정</t>
    <phoneticPr fontId="1" type="noConversion"/>
  </si>
  <si>
    <t>경기 양주시 회정동 7-6 외 7필지(7-14, 7-17, 7-24, 7-25, 7-29, 7-30, 은현면 용암리 281 일부)</t>
    <phoneticPr fontId="1" type="noConversion"/>
  </si>
  <si>
    <t>02493931</t>
  </si>
  <si>
    <t>영동군 수소충전소</t>
    <phoneticPr fontId="1" type="noConversion"/>
  </si>
  <si>
    <t>영동 계산</t>
    <phoneticPr fontId="1" type="noConversion"/>
  </si>
  <si>
    <t>충북 영동군 영동읍 계산리 352-1 외 1필지</t>
    <phoneticPr fontId="1" type="noConversion"/>
  </si>
  <si>
    <t>02550761</t>
  </si>
  <si>
    <t>2023-04-04
2023-09-01</t>
    <phoneticPr fontId="1" type="noConversion"/>
  </si>
  <si>
    <t>완주수소생산기지</t>
    <phoneticPr fontId="1" type="noConversion"/>
  </si>
  <si>
    <t>중부권(김해)수소충전소</t>
    <phoneticPr fontId="1" type="noConversion"/>
  </si>
  <si>
    <t>광주 신촌</t>
    <phoneticPr fontId="1" type="noConversion"/>
  </si>
  <si>
    <t>코하이젠 포항 장흥 수소충전소</t>
    <phoneticPr fontId="1" type="noConversion"/>
  </si>
  <si>
    <t>김해 풍유</t>
    <phoneticPr fontId="1" type="noConversion"/>
  </si>
  <si>
    <t>인천 송도</t>
    <phoneticPr fontId="1" type="noConversion"/>
  </si>
  <si>
    <t>SK PlugHyverse</t>
    <phoneticPr fontId="1" type="noConversion"/>
  </si>
  <si>
    <t>오렌지LPG충전소</t>
    <phoneticPr fontId="1" type="noConversion"/>
  </si>
  <si>
    <t>포항 장흥</t>
    <phoneticPr fontId="1" type="noConversion"/>
  </si>
  <si>
    <t>광주 오렌지 수소충전소</t>
    <phoneticPr fontId="1" type="noConversion"/>
  </si>
  <si>
    <t>02483926</t>
  </si>
  <si>
    <t>02549117</t>
  </si>
  <si>
    <t>02493929</t>
  </si>
  <si>
    <t>02529781</t>
  </si>
  <si>
    <t>02544959</t>
  </si>
  <si>
    <t>2023-03-06
2023-08-31</t>
    <phoneticPr fontId="1" type="noConversion"/>
  </si>
  <si>
    <t>전북 완주군 봉동읍 둔산리 951-7, 951-8</t>
    <phoneticPr fontId="1" type="noConversion"/>
  </si>
  <si>
    <t>광주 광산구 신촌동 682-5</t>
    <phoneticPr fontId="1" type="noConversion"/>
  </si>
  <si>
    <t>인천 연수구 송도동 13-60</t>
    <phoneticPr fontId="1" type="noConversion"/>
  </si>
  <si>
    <t>경북 포항시 남구 장흥동 470-6</t>
    <phoneticPr fontId="1" type="noConversion"/>
  </si>
  <si>
    <t>부산 장림 액화수소충전소</t>
    <phoneticPr fontId="1" type="noConversion"/>
  </si>
  <si>
    <t>부산 장림</t>
    <phoneticPr fontId="1" type="noConversion"/>
  </si>
  <si>
    <t>저장식(액화)</t>
    <phoneticPr fontId="1" type="noConversion"/>
  </si>
  <si>
    <t>액화수소저장탱크</t>
    <phoneticPr fontId="1" type="noConversion"/>
  </si>
  <si>
    <t>부산 사하구 장림동 1080</t>
    <phoneticPr fontId="1" type="noConversion"/>
  </si>
  <si>
    <t>02565302</t>
  </si>
  <si>
    <t>Nikkiso CE &amp; IG</t>
    <phoneticPr fontId="1" type="noConversion"/>
  </si>
  <si>
    <t>2023-08-16
2023-12-11</t>
    <phoneticPr fontId="1" type="noConversion"/>
  </si>
  <si>
    <t>Linde(기존)
DM(증설)</t>
    <phoneticPr fontId="1" type="noConversion"/>
  </si>
  <si>
    <t>이엠솔루션(기존)
범한퓨얼셀(증설)</t>
    <phoneticPr fontId="1" type="noConversion"/>
  </si>
  <si>
    <t>2016-09-23
2023-07-04</t>
    <phoneticPr fontId="1" type="noConversion"/>
  </si>
  <si>
    <t>2021-02-02
2023-12-19</t>
    <phoneticPr fontId="1" type="noConversion"/>
  </si>
  <si>
    <t>언양 수소충전소</t>
    <phoneticPr fontId="1" type="noConversion"/>
  </si>
  <si>
    <t>울산 언양</t>
    <phoneticPr fontId="1" type="noConversion"/>
  </si>
  <si>
    <t>울산 울주군 삼남읍 신화리 980-1</t>
    <phoneticPr fontId="1" type="noConversion"/>
  </si>
  <si>
    <t>02556267</t>
    <phoneticPr fontId="1" type="noConversion"/>
  </si>
  <si>
    <t>구미 선기</t>
    <phoneticPr fontId="1" type="noConversion"/>
  </si>
  <si>
    <t>경북 구미시 선기동 447-2 외 3필지(447-3, 447-6, 448-4)</t>
    <phoneticPr fontId="1" type="noConversion"/>
  </si>
  <si>
    <t>02582024</t>
  </si>
  <si>
    <t>익산 목천 액화수소충전소</t>
    <phoneticPr fontId="1" type="noConversion"/>
  </si>
  <si>
    <t>익산 목천</t>
    <phoneticPr fontId="1" type="noConversion"/>
  </si>
  <si>
    <t>02583511</t>
  </si>
  <si>
    <t>전북 익산시 목천동 67-35, 67-41</t>
    <phoneticPr fontId="1" type="noConversion"/>
  </si>
  <si>
    <t>인천 가좌 액화수소충전소</t>
    <phoneticPr fontId="1" type="noConversion"/>
  </si>
  <si>
    <t>인천 서구 가좌동 178-131</t>
    <phoneticPr fontId="1" type="noConversion"/>
  </si>
  <si>
    <t>02565444</t>
  </si>
  <si>
    <t>청주 송절 액화수소충전소</t>
    <phoneticPr fontId="1" type="noConversion"/>
  </si>
  <si>
    <t>청주 송절</t>
    <phoneticPr fontId="1" type="noConversion"/>
  </si>
  <si>
    <t>영동 계산 액화수소충전소</t>
    <phoneticPr fontId="1" type="noConversion"/>
  </si>
  <si>
    <t>경기 이천 액화수소충전소</t>
    <phoneticPr fontId="1" type="noConversion"/>
  </si>
  <si>
    <t>이천 대흥</t>
    <phoneticPr fontId="1" type="noConversion"/>
  </si>
  <si>
    <t>02565317</t>
  </si>
  <si>
    <t>2024-01-30</t>
    <phoneticPr fontId="1" type="noConversion"/>
  </si>
  <si>
    <t>충북 청주시 흥덕구 송절동 419-1 외 2필지(화계동 37-11, 봉명동 379-2)</t>
    <phoneticPr fontId="1" type="noConversion"/>
  </si>
  <si>
    <t>02582529</t>
  </si>
  <si>
    <t>충북 영동군 영동읍 계산리 831-2, 832, 891-10</t>
    <phoneticPr fontId="1" type="noConversion"/>
  </si>
  <si>
    <t>2023-10-13</t>
    <phoneticPr fontId="1" type="noConversion"/>
  </si>
  <si>
    <t>02581479</t>
  </si>
  <si>
    <t>경기 이천시 대월면 대흥리 34-9</t>
    <phoneticPr fontId="1" type="noConversion"/>
  </si>
  <si>
    <t>코하이젠 세종대평 수소충전소</t>
    <phoneticPr fontId="1" type="noConversion"/>
  </si>
  <si>
    <t>세종 대평동 586-25 외 3필지(586-15, 586-23, 586-24)</t>
    <phoneticPr fontId="1" type="noConversion"/>
  </si>
  <si>
    <t>02571431</t>
    <phoneticPr fontId="1" type="noConversion"/>
  </si>
  <si>
    <t>2023-08-24</t>
    <phoneticPr fontId="1" type="noConversion"/>
  </si>
  <si>
    <t>목포 유정 수소충전소</t>
    <phoneticPr fontId="1" type="noConversion"/>
  </si>
  <si>
    <t>02473449</t>
    <phoneticPr fontId="1" type="noConversion"/>
  </si>
  <si>
    <t>목포 유정</t>
    <phoneticPr fontId="1" type="noConversion"/>
  </si>
  <si>
    <t>유한회사 유정에너지</t>
    <phoneticPr fontId="1" type="noConversion"/>
  </si>
  <si>
    <t>2021-12-01</t>
    <phoneticPr fontId="1" type="noConversion"/>
  </si>
  <si>
    <t>인천 남동테크노파크 수소충전소</t>
    <phoneticPr fontId="1" type="noConversion"/>
  </si>
  <si>
    <t>농협</t>
    <phoneticPr fontId="1" type="noConversion"/>
  </si>
  <si>
    <t>02503238</t>
    <phoneticPr fontId="1" type="noConversion"/>
  </si>
  <si>
    <t>2022-07-12
2023-05-24</t>
    <phoneticPr fontId="1" type="noConversion"/>
  </si>
  <si>
    <t>코스테크</t>
    <phoneticPr fontId="1" type="noConversion"/>
  </si>
  <si>
    <t>한국자동차연구원 전남본부 수소충전소</t>
    <phoneticPr fontId="1" type="noConversion"/>
  </si>
  <si>
    <t>전남 영광</t>
    <phoneticPr fontId="1" type="noConversion"/>
  </si>
  <si>
    <t>02492659</t>
    <phoneticPr fontId="1" type="noConversion"/>
  </si>
  <si>
    <t>2022-05-20
2023-05-30</t>
    <phoneticPr fontId="1" type="noConversion"/>
  </si>
  <si>
    <t>수도권 매립지 수소충전소</t>
    <phoneticPr fontId="1" type="noConversion"/>
  </si>
  <si>
    <t>인천 서구</t>
    <phoneticPr fontId="1" type="noConversion"/>
  </si>
  <si>
    <t>02509282</t>
    <phoneticPr fontId="1" type="noConversion"/>
  </si>
  <si>
    <t>2024-02-29</t>
    <phoneticPr fontId="1" type="noConversion"/>
  </si>
  <si>
    <t>2021-01-07
2023-12-05</t>
    <phoneticPr fontId="1" type="noConversion"/>
  </si>
  <si>
    <t>전남 목포시 백년대로 221</t>
    <phoneticPr fontId="1" type="noConversion"/>
  </si>
  <si>
    <t>인천 남동구 수산동 470-6</t>
    <phoneticPr fontId="1" type="noConversion"/>
  </si>
  <si>
    <t>전남 영광군 대마면 송죽리 1030-10</t>
    <phoneticPr fontId="1" type="noConversion"/>
  </si>
  <si>
    <t>인천 서구 왕길동 61-11</t>
    <phoneticPr fontId="1" type="noConversion"/>
  </si>
  <si>
    <t>2021-03-09
2023-11-23</t>
    <phoneticPr fontId="1" type="noConversion"/>
  </si>
  <si>
    <t>하이스테이션 통영 수소충전소</t>
    <phoneticPr fontId="1" type="noConversion"/>
  </si>
  <si>
    <t>경남 통영</t>
    <phoneticPr fontId="1" type="noConversion"/>
  </si>
  <si>
    <t>하이스테이션</t>
    <phoneticPr fontId="1" type="noConversion"/>
  </si>
  <si>
    <t>경남 통영시 광도면 노산리 971</t>
    <phoneticPr fontId="1" type="noConversion"/>
  </si>
  <si>
    <t>02568204</t>
    <phoneticPr fontId="1" type="noConversion"/>
  </si>
  <si>
    <t>2024-03-07</t>
    <phoneticPr fontId="1" type="noConversion"/>
  </si>
  <si>
    <t>2023-06-30</t>
    <phoneticPr fontId="1" type="noConversion"/>
  </si>
  <si>
    <t>덕평휴게소 수소충전소</t>
    <phoneticPr fontId="1" type="noConversion"/>
  </si>
  <si>
    <t>경기 이천</t>
    <phoneticPr fontId="1" type="noConversion"/>
  </si>
  <si>
    <t>SK에너지㈜</t>
    <phoneticPr fontId="1" type="noConversion"/>
  </si>
  <si>
    <t>경기 이천시 호법면 단천리 산 50-2, 50-3, 50-4, 4-2</t>
    <phoneticPr fontId="1" type="noConversion"/>
  </si>
  <si>
    <t>02550764</t>
    <phoneticPr fontId="1" type="noConversion"/>
  </si>
  <si>
    <t>2023-03-15</t>
    <phoneticPr fontId="1" type="noConversion"/>
  </si>
  <si>
    <t>대진여객 수소충전소</t>
    <phoneticPr fontId="1" type="noConversion"/>
  </si>
  <si>
    <t>(주)대진크린에너지</t>
    <phoneticPr fontId="1" type="noConversion"/>
  </si>
  <si>
    <t>부산광역시 기장군 철마면 고촌리 산 95-64</t>
    <phoneticPr fontId="1" type="noConversion"/>
  </si>
  <si>
    <t>02568444</t>
    <phoneticPr fontId="1" type="noConversion"/>
  </si>
  <si>
    <t>2023-07-04</t>
    <phoneticPr fontId="1" type="noConversion"/>
  </si>
  <si>
    <t>보은군 수소충전소</t>
    <phoneticPr fontId="1" type="noConversion"/>
  </si>
  <si>
    <t>충북 보은</t>
    <phoneticPr fontId="1" type="noConversion"/>
  </si>
  <si>
    <t>충청북도 보은군 보은읍 풍취리 6-4, 6-7</t>
    <phoneticPr fontId="1" type="noConversion"/>
  </si>
  <si>
    <t>보은현대충전소</t>
    <phoneticPr fontId="1" type="noConversion"/>
  </si>
  <si>
    <t>02556499</t>
    <phoneticPr fontId="1" type="noConversion"/>
  </si>
  <si>
    <t>2023-05-25</t>
    <phoneticPr fontId="1" type="noConversion"/>
  </si>
  <si>
    <t xml:space="preserve"> 춘천시 삼천동 수소충전소</t>
    <phoneticPr fontId="1" type="noConversion"/>
  </si>
  <si>
    <t>강원 춘천</t>
    <phoneticPr fontId="1" type="noConversion"/>
  </si>
  <si>
    <t>광신기계공업㈜</t>
    <phoneticPr fontId="1" type="noConversion"/>
  </si>
  <si>
    <t>2023-07-24</t>
    <phoneticPr fontId="1" type="noConversion"/>
  </si>
  <si>
    <t>02572398</t>
    <phoneticPr fontId="1" type="noConversion"/>
  </si>
  <si>
    <t>강원 춘천시 삼천동 392-30</t>
    <phoneticPr fontId="1" type="noConversion"/>
  </si>
  <si>
    <t>2020-07-24
2024-02-28</t>
    <phoneticPr fontId="1" type="noConversion"/>
  </si>
  <si>
    <t>주소</t>
    <phoneticPr fontId="1" type="noConversion"/>
  </si>
  <si>
    <t>상용차 여부
(지원금 기준)</t>
    <phoneticPr fontId="1" type="noConversion"/>
  </si>
  <si>
    <t>서울 강서구 개화동 663</t>
    <phoneticPr fontId="1" type="noConversion"/>
  </si>
  <si>
    <t>2021-01-05
2022-07-01
2022-07-28
2024-01-29
2024-03-14</t>
    <phoneticPr fontId="1" type="noConversion"/>
  </si>
  <si>
    <r>
      <t>인천광역시 중구 신흥동</t>
    </r>
    <r>
      <rPr>
        <sz val="10"/>
        <color rgb="FF000000"/>
        <rFont val="굴림"/>
        <family val="3"/>
        <charset val="129"/>
      </rPr>
      <t>3</t>
    </r>
    <r>
      <rPr>
        <sz val="10"/>
        <color rgb="FF000000"/>
        <rFont val="맑은 고딕"/>
        <family val="3"/>
        <charset val="129"/>
        <scheme val="minor"/>
      </rPr>
      <t xml:space="preserve">가 </t>
    </r>
    <r>
      <rPr>
        <sz val="10"/>
        <color rgb="FF000000"/>
        <rFont val="굴림"/>
        <family val="3"/>
        <charset val="129"/>
      </rPr>
      <t>60-25</t>
    </r>
    <phoneticPr fontId="1" type="noConversion"/>
  </si>
  <si>
    <t>코하이젠 파주봉서 수소충전소</t>
    <phoneticPr fontId="1" type="noConversion"/>
  </si>
  <si>
    <t>파주 봉서</t>
    <phoneticPr fontId="1" type="noConversion"/>
  </si>
  <si>
    <t>경기 파주시 파주읍 봉서리 829-6, 829-7, 829-8</t>
    <phoneticPr fontId="1" type="noConversion"/>
  </si>
  <si>
    <t>02570007</t>
    <phoneticPr fontId="1" type="noConversion"/>
  </si>
  <si>
    <t>2023-08-03</t>
    <phoneticPr fontId="1" type="noConversion"/>
  </si>
  <si>
    <t>서울 강서 버스수소충전소</t>
    <phoneticPr fontId="1" type="noConversion"/>
  </si>
  <si>
    <t>2021-08-06
2022-03-10
2023-12-12</t>
    <phoneticPr fontId="1" type="noConversion"/>
  </si>
  <si>
    <t>인천 경서 액화수소충전소</t>
    <phoneticPr fontId="1" type="noConversion"/>
  </si>
  <si>
    <t>인천광역시 서구 경명대로 276 외 1필지</t>
    <phoneticPr fontId="1" type="noConversion"/>
  </si>
  <si>
    <t>02583768</t>
    <phoneticPr fontId="1" type="noConversion"/>
  </si>
  <si>
    <t>2023-11-08</t>
    <phoneticPr fontId="1" type="noConversion"/>
  </si>
  <si>
    <t>창원 팔용</t>
    <phoneticPr fontId="1" type="noConversion"/>
  </si>
  <si>
    <t>인천 경서</t>
    <phoneticPr fontId="1" type="noConversion"/>
  </si>
  <si>
    <t>고려아연</t>
    <phoneticPr fontId="1" type="noConversion"/>
  </si>
  <si>
    <t>효성중공업㈜</t>
    <phoneticPr fontId="1" type="noConversion"/>
  </si>
  <si>
    <t>하이넷 구미 오태 수소충전소</t>
    <phoneticPr fontId="1" type="noConversion"/>
  </si>
  <si>
    <t>고려아연 수소충전소</t>
    <phoneticPr fontId="1" type="noConversion"/>
  </si>
  <si>
    <t>울산광역시 울주군 온산읍 공단로 318 (고려아연 온산제련소 내)</t>
    <phoneticPr fontId="1" type="noConversion"/>
  </si>
  <si>
    <t>02572792</t>
    <phoneticPr fontId="1" type="noConversion"/>
  </si>
  <si>
    <t>2023-08-11</t>
    <phoneticPr fontId="1" type="noConversion"/>
  </si>
  <si>
    <t>하이넷 충주휴게소(창원방향) 수소충전소</t>
    <phoneticPr fontId="1" type="noConversion"/>
  </si>
  <si>
    <t>충북 충주</t>
    <phoneticPr fontId="1" type="noConversion"/>
  </si>
  <si>
    <t>충청북도 충주시 중앙탑면 중부내륙고속도로 산231 외 산 50-4 (충주휴게소 내)</t>
    <phoneticPr fontId="1" type="noConversion"/>
  </si>
  <si>
    <t>02528640</t>
    <phoneticPr fontId="1" type="noConversion"/>
  </si>
  <si>
    <t>2022-11-30</t>
    <phoneticPr fontId="1" type="noConversion"/>
  </si>
  <si>
    <t>구미 오태</t>
    <phoneticPr fontId="1" type="noConversion"/>
  </si>
  <si>
    <t>경상북도 구미시 오태동 243-5 외 3필지</t>
    <phoneticPr fontId="1" type="noConversion"/>
  </si>
  <si>
    <t>02528502</t>
    <phoneticPr fontId="1" type="noConversion"/>
  </si>
  <si>
    <t>2022-11-04</t>
    <phoneticPr fontId="1" type="noConversion"/>
  </si>
  <si>
    <t>화성 삼존</t>
    <phoneticPr fontId="1" type="noConversion"/>
  </si>
  <si>
    <t>하이넷 안성맞춤휴게소(평택방향) 수소충전소</t>
    <phoneticPr fontId="1" type="noConversion"/>
  </si>
  <si>
    <t>경기 안성</t>
    <phoneticPr fontId="1" type="noConversion"/>
  </si>
  <si>
    <t>경기도 안성시 서운면 평택제천고속도로 41</t>
    <phoneticPr fontId="1" type="noConversion"/>
  </si>
  <si>
    <t>02534487</t>
    <phoneticPr fontId="1" type="noConversion"/>
  </si>
  <si>
    <t>2023-01-19</t>
    <phoneticPr fontId="1" type="noConversion"/>
  </si>
  <si>
    <t>창원 진해</t>
    <phoneticPr fontId="1" type="noConversion"/>
  </si>
  <si>
    <t>경상남도 창원시 진해구 신항북로 320</t>
    <phoneticPr fontId="1" type="noConversion"/>
  </si>
  <si>
    <t>02566152</t>
    <phoneticPr fontId="1" type="noConversion"/>
  </si>
  <si>
    <t>2023-06-26</t>
    <phoneticPr fontId="1" type="noConversion"/>
  </si>
  <si>
    <t>(재)전북테크노파크 완주수소충전소(완주군수소전주기클러스터)</t>
    <phoneticPr fontId="1" type="noConversion"/>
  </si>
  <si>
    <t>코하이젠 진주 호탄 수소충전소</t>
    <phoneticPr fontId="1" type="noConversion"/>
  </si>
  <si>
    <t>경남 진주</t>
    <phoneticPr fontId="1" type="noConversion"/>
  </si>
  <si>
    <t>경상남도 진주시 가호방아길 9</t>
    <phoneticPr fontId="1" type="noConversion"/>
  </si>
  <si>
    <t>02521036</t>
    <phoneticPr fontId="1" type="noConversion"/>
  </si>
  <si>
    <t>경남 김해시 풍유동 202-15 외 4필지</t>
    <phoneticPr fontId="1" type="noConversion"/>
  </si>
  <si>
    <t>원주장양 액화수소충전소</t>
    <phoneticPr fontId="1" type="noConversion"/>
  </si>
  <si>
    <t>2018-08-16
2020-07-10
2022-05-18
2022-12-01</t>
    <phoneticPr fontId="1" type="noConversion"/>
  </si>
  <si>
    <t>경기 부천</t>
    <phoneticPr fontId="1" type="noConversion"/>
  </si>
  <si>
    <t>부천 춘의 수소충전소</t>
    <phoneticPr fontId="1" type="noConversion"/>
  </si>
  <si>
    <t>부천도시공사</t>
    <phoneticPr fontId="1" type="noConversion"/>
  </si>
  <si>
    <t>경기도 부천시 원미구 춘의동 369 외 4필지(369-1, 369-2, 367, 산80)</t>
    <phoneticPr fontId="1" type="noConversion"/>
  </si>
  <si>
    <t>02490026</t>
    <phoneticPr fontId="1" type="noConversion"/>
  </si>
  <si>
    <t>2023-04-19</t>
    <phoneticPr fontId="1" type="noConversion"/>
  </si>
  <si>
    <t>2022-12-02</t>
    <phoneticPr fontId="1" type="noConversion"/>
  </si>
  <si>
    <t>강원 원주</t>
    <phoneticPr fontId="1" type="noConversion"/>
  </si>
  <si>
    <t>강원특별자치도 원주시 소초면 북원로 3118</t>
    <phoneticPr fontId="1" type="noConversion"/>
  </si>
  <si>
    <t>02604640</t>
    <phoneticPr fontId="1" type="noConversion"/>
  </si>
  <si>
    <t>이동형 수소충전소 제주충전소</t>
    <phoneticPr fontId="1" type="noConversion"/>
  </si>
  <si>
    <t>이동형 수소충전소 제주에너지공사</t>
    <phoneticPr fontId="1" type="noConversion"/>
  </si>
  <si>
    <t>제주 행원</t>
    <phoneticPr fontId="1" type="noConversion"/>
  </si>
  <si>
    <t>제주 함덕</t>
    <phoneticPr fontId="1" type="noConversion"/>
  </si>
  <si>
    <t>제주에너지공사</t>
    <phoneticPr fontId="1" type="noConversion"/>
  </si>
  <si>
    <t>하이스원(주)부산 회동동 수소충전소</t>
    <phoneticPr fontId="1" type="noConversion"/>
  </si>
  <si>
    <t>부산 금정</t>
    <phoneticPr fontId="1" type="noConversion"/>
  </si>
  <si>
    <t>하이스원㈜</t>
    <phoneticPr fontId="1" type="noConversion"/>
  </si>
  <si>
    <t>2024-04-01</t>
    <phoneticPr fontId="1" type="noConversion"/>
  </si>
  <si>
    <t>부산광역시 금정구 회동동 517-23</t>
    <phoneticPr fontId="1" type="noConversion"/>
  </si>
  <si>
    <t>02592616</t>
    <phoneticPr fontId="1" type="noConversion"/>
  </si>
  <si>
    <t>제주도 LPG개인택시조합</t>
    <phoneticPr fontId="1" type="noConversion"/>
  </si>
  <si>
    <t>금정노포 액화수소충전소</t>
    <phoneticPr fontId="1" type="noConversion"/>
  </si>
  <si>
    <t>부산광역시 금정구 노포동 236-6</t>
    <phoneticPr fontId="1" type="noConversion"/>
  </si>
  <si>
    <t>02604644</t>
    <phoneticPr fontId="1" type="noConversion"/>
  </si>
  <si>
    <t>제주특별자치도 제주시 도두일동 2196-1</t>
    <phoneticPr fontId="1" type="noConversion"/>
  </si>
  <si>
    <t>02612410</t>
    <phoneticPr fontId="1" type="noConversion"/>
  </si>
  <si>
    <t>제주특별자치도 제주시 구좌읍 행원리 21-1</t>
    <phoneticPr fontId="1" type="noConversion"/>
  </si>
  <si>
    <t>2024-05-07</t>
    <phoneticPr fontId="1" type="noConversion"/>
  </si>
  <si>
    <t>02619243</t>
    <phoneticPr fontId="1" type="noConversion"/>
  </si>
  <si>
    <t>2024-04-30</t>
    <phoneticPr fontId="1" type="noConversion"/>
  </si>
  <si>
    <t>성주휴게소 수소충전소</t>
    <phoneticPr fontId="1" type="noConversion"/>
  </si>
  <si>
    <t>경북 성주</t>
    <phoneticPr fontId="1" type="noConversion"/>
  </si>
  <si>
    <t>경상북도 성주군 초전면 용봉리 산 129-62번지 외 5필지</t>
    <phoneticPr fontId="1" type="noConversion"/>
  </si>
  <si>
    <t>02558220</t>
    <phoneticPr fontId="1" type="noConversion"/>
  </si>
  <si>
    <t>2024-05-31</t>
    <phoneticPr fontId="1" type="noConversion"/>
  </si>
  <si>
    <t>제주 도우일동</t>
    <phoneticPr fontId="1" type="noConversion"/>
  </si>
  <si>
    <t>태화강역 수소충전소</t>
    <phoneticPr fontId="1" type="noConversion"/>
  </si>
  <si>
    <t>행담도휴게소 수소충전소</t>
    <phoneticPr fontId="1" type="noConversion"/>
  </si>
  <si>
    <t>코하이젠 안산본오 수소충전소</t>
    <phoneticPr fontId="1" type="noConversion"/>
  </si>
  <si>
    <t>02484941</t>
    <phoneticPr fontId="1" type="noConversion"/>
  </si>
  <si>
    <t>울산 삼산</t>
    <phoneticPr fontId="1" type="noConversion"/>
  </si>
  <si>
    <t>순천가곡 액화수소충전소</t>
    <phoneticPr fontId="1" type="noConversion"/>
  </si>
  <si>
    <t>하이넷 수원권선 수소충전소</t>
    <phoneticPr fontId="1" type="noConversion"/>
  </si>
  <si>
    <t>전주 전미 액화수소충전소</t>
    <phoneticPr fontId="1" type="noConversion"/>
  </si>
  <si>
    <t>전주 전미</t>
    <phoneticPr fontId="1" type="noConversion"/>
  </si>
  <si>
    <t>전라북도 전주시 덕진구 전미동2가 77-1</t>
    <phoneticPr fontId="1" type="noConversion"/>
  </si>
  <si>
    <t>02624533</t>
    <phoneticPr fontId="1" type="noConversion"/>
  </si>
  <si>
    <t>2024-06-12</t>
    <phoneticPr fontId="1" type="noConversion"/>
  </si>
  <si>
    <t>안산 원시</t>
    <phoneticPr fontId="1" type="noConversion"/>
  </si>
  <si>
    <t>02550765</t>
    <phoneticPr fontId="1" type="noConversion"/>
  </si>
  <si>
    <t>2023-04-12</t>
    <phoneticPr fontId="1" type="noConversion"/>
  </si>
  <si>
    <t>경기도 안산시 단원구 원시동 772-8</t>
    <phoneticPr fontId="1" type="noConversion"/>
  </si>
  <si>
    <t>02605908</t>
    <phoneticPr fontId="1" type="noConversion"/>
  </si>
  <si>
    <t>수원 권선</t>
    <phoneticPr fontId="1" type="noConversion"/>
  </si>
  <si>
    <t>경기도 수원시 권선구 탑동 902-4</t>
    <phoneticPr fontId="1" type="noConversion"/>
  </si>
  <si>
    <t>안산 본오</t>
    <phoneticPr fontId="1" type="noConversion"/>
  </si>
  <si>
    <t>튜브트레일러, 배관공급</t>
    <phoneticPr fontId="1" type="noConversion"/>
  </si>
  <si>
    <t>경기도 안산시 상록구 본오동 728-1</t>
    <phoneticPr fontId="1" type="noConversion"/>
  </si>
  <si>
    <t>02512825</t>
    <phoneticPr fontId="1" type="noConversion"/>
  </si>
  <si>
    <t>2022-08-29
2024-05-03</t>
    <phoneticPr fontId="1" type="noConversion"/>
  </si>
  <si>
    <t>순천 가곡</t>
    <phoneticPr fontId="1" type="noConversion"/>
  </si>
  <si>
    <t>전라남도 순천시 가곡동 183-4번지 외 6필지</t>
    <phoneticPr fontId="1" type="noConversion"/>
  </si>
  <si>
    <t>고양 덕양</t>
    <phoneticPr fontId="1" type="noConversion"/>
  </si>
  <si>
    <t>경기도 고양시 덕양구 통일로493번길 46</t>
    <phoneticPr fontId="1" type="noConversion"/>
  </si>
  <si>
    <t>02601505</t>
    <phoneticPr fontId="1" type="noConversion"/>
  </si>
  <si>
    <t>2024-02-02
2024-08-19</t>
    <phoneticPr fontId="1" type="noConversion"/>
  </si>
  <si>
    <t>02613277</t>
    <phoneticPr fontId="1" type="noConversion"/>
  </si>
  <si>
    <t>2024-06-27</t>
    <phoneticPr fontId="1" type="noConversion"/>
  </si>
  <si>
    <t>2022-09-06
2024-01-16</t>
    <phoneticPr fontId="1" type="noConversion"/>
  </si>
  <si>
    <t>이엠코리아</t>
    <phoneticPr fontId="1" type="noConversion"/>
  </si>
  <si>
    <t>02512488</t>
    <phoneticPr fontId="1" type="noConversion"/>
  </si>
  <si>
    <t>(주)한준에너지</t>
    <phoneticPr fontId="1" type="noConversion"/>
  </si>
  <si>
    <t>충청남도 당진시 신평면 서해안고속도로 275</t>
    <phoneticPr fontId="1" type="noConversion"/>
  </si>
  <si>
    <t>2022-04-04</t>
    <phoneticPr fontId="1" type="noConversion"/>
  </si>
  <si>
    <t>울산광역시 남구 삼산동 23-9 외 6필지</t>
    <phoneticPr fontId="1" type="noConversion"/>
  </si>
  <si>
    <t>미정(안산시청)</t>
    <phoneticPr fontId="1" type="noConversion"/>
  </si>
  <si>
    <t>승용차</t>
  </si>
  <si>
    <t>광신기계공업(주)
MS-TATSN상용차</t>
  </si>
  <si>
    <t>상용차</t>
  </si>
  <si>
    <t>E1 고양 수소버스충전소</t>
    <phoneticPr fontId="1" type="noConversion"/>
  </si>
  <si>
    <t>TATSUNO</t>
  </si>
  <si>
    <t>TATSUNO
(MS이엔지)</t>
  </si>
  <si>
    <t>MS-TATSUNO
DM</t>
  </si>
  <si>
    <t>현대로템
TATSUNO
(MS이엔지)</t>
  </si>
  <si>
    <t>TATSUNO
(DM)</t>
  </si>
  <si>
    <t>TOKIKO</t>
  </si>
  <si>
    <t>구미공단 액화수소충전소</t>
    <phoneticPr fontId="1" type="noConversion"/>
  </si>
  <si>
    <t>밀양시 수소충전소</t>
    <phoneticPr fontId="1" type="noConversion"/>
  </si>
  <si>
    <t>문경휴게소(양평방향) 수소충전소</t>
    <phoneticPr fontId="1" type="noConversion"/>
  </si>
  <si>
    <t>현대사이트솔루션 이동식 수소충전소(현대자동차 의왕연구소)</t>
    <phoneticPr fontId="1" type="noConversion"/>
  </si>
  <si>
    <t>구미 공단</t>
    <phoneticPr fontId="1" type="noConversion"/>
  </si>
  <si>
    <t>한영테크노켐</t>
    <phoneticPr fontId="1" type="noConversion"/>
  </si>
  <si>
    <t>충청북도 음성군 소이면 후미리 891-8</t>
    <phoneticPr fontId="1" type="noConversion"/>
  </si>
  <si>
    <t>음성 후미</t>
    <phoneticPr fontId="1" type="noConversion"/>
  </si>
  <si>
    <t>02584287</t>
    <phoneticPr fontId="1" type="noConversion"/>
  </si>
  <si>
    <t>경상북도 문경시 중부내륙고속도로 174-1</t>
    <phoneticPr fontId="1" type="noConversion"/>
  </si>
  <si>
    <t>화성 송산 수소충전소</t>
    <phoneticPr fontId="1" type="noConversion"/>
  </si>
  <si>
    <t>하이넷 경산 하양 수소충전소</t>
    <phoneticPr fontId="1" type="noConversion"/>
  </si>
  <si>
    <t>코하이젠 울산 명촌 수소충전소</t>
    <phoneticPr fontId="1" type="noConversion"/>
  </si>
  <si>
    <t>대구 검단 액화수소충전소</t>
    <phoneticPr fontId="1" type="noConversion"/>
  </si>
  <si>
    <t>하이넷 목포 연산 수소충전소</t>
    <phoneticPr fontId="1" type="noConversion"/>
  </si>
  <si>
    <t>인천 오류 액화수소충전소</t>
    <phoneticPr fontId="1" type="noConversion"/>
  </si>
  <si>
    <t>효성 전주 호남고속 액화수소충전소</t>
    <phoneticPr fontId="1" type="noConversion"/>
  </si>
  <si>
    <t>효성하이드로젠</t>
    <phoneticPr fontId="1" type="noConversion"/>
  </si>
  <si>
    <t>전라북도 전주시 덕진구 송부대로 1267</t>
    <phoneticPr fontId="1" type="noConversion"/>
  </si>
  <si>
    <t>02620219</t>
    <phoneticPr fontId="1" type="noConversion"/>
  </si>
  <si>
    <t>2024-06-21</t>
    <phoneticPr fontId="1" type="noConversion"/>
  </si>
  <si>
    <t>상용차</t>
    <phoneticPr fontId="1" type="noConversion"/>
  </si>
  <si>
    <t>경상북도 구미시 공단동 295-14 외 7필지</t>
    <phoneticPr fontId="1" type="noConversion"/>
  </si>
  <si>
    <t>02625812</t>
    <phoneticPr fontId="1" type="noConversion"/>
  </si>
  <si>
    <t>2024-07-19</t>
    <phoneticPr fontId="1" type="noConversion"/>
  </si>
  <si>
    <t>02597714</t>
    <phoneticPr fontId="1" type="noConversion"/>
  </si>
  <si>
    <t>경상남도 밀양시 부북면 감천리 산 1-2, 산2-2</t>
    <phoneticPr fontId="1" type="noConversion"/>
  </si>
  <si>
    <t>밀양 감천</t>
    <phoneticPr fontId="1" type="noConversion"/>
  </si>
  <si>
    <t>02636262</t>
    <phoneticPr fontId="1" type="noConversion"/>
  </si>
  <si>
    <t>2024-10-23</t>
    <phoneticPr fontId="1" type="noConversion"/>
  </si>
  <si>
    <t>승용차</t>
    <phoneticPr fontId="1" type="noConversion"/>
  </si>
  <si>
    <t>문경 유곡</t>
    <phoneticPr fontId="1" type="noConversion"/>
  </si>
  <si>
    <t>2023-10-18</t>
    <phoneticPr fontId="1" type="noConversion"/>
  </si>
  <si>
    <t>2023-06-02
2024-09-11</t>
    <phoneticPr fontId="1" type="noConversion"/>
  </si>
  <si>
    <t>㈜광동티엘에스</t>
    <phoneticPr fontId="1" type="noConversion"/>
  </si>
  <si>
    <t>경기도 화성시 송산면 삼존리 647-5 외 2필지</t>
    <phoneticPr fontId="1" type="noConversion"/>
  </si>
  <si>
    <t>02561574</t>
    <phoneticPr fontId="1" type="noConversion"/>
  </si>
  <si>
    <t>울산 명촌</t>
    <phoneticPr fontId="1" type="noConversion"/>
  </si>
  <si>
    <t>저장식(배관)</t>
    <phoneticPr fontId="1" type="noConversion"/>
  </si>
  <si>
    <t>울산광역시 북구 명촌동 433-11</t>
    <phoneticPr fontId="1" type="noConversion"/>
  </si>
  <si>
    <t>02606451</t>
    <phoneticPr fontId="1" type="noConversion"/>
  </si>
  <si>
    <t>2024-03-13</t>
    <phoneticPr fontId="1" type="noConversion"/>
  </si>
  <si>
    <t>02496850</t>
    <phoneticPr fontId="1" type="noConversion"/>
  </si>
  <si>
    <t>경산 용천</t>
    <phoneticPr fontId="1" type="noConversion"/>
  </si>
  <si>
    <t>경상북도 경산시 와촌면 용천리 810</t>
    <phoneticPr fontId="1" type="noConversion"/>
  </si>
  <si>
    <t>2022-11-29</t>
    <phoneticPr fontId="1" type="noConversion"/>
  </si>
  <si>
    <t>2024-08-16</t>
    <phoneticPr fontId="1" type="noConversion"/>
  </si>
  <si>
    <t>02630998</t>
    <phoneticPr fontId="1" type="noConversion"/>
  </si>
  <si>
    <t>대구광역시 북구 검단동 1883</t>
    <phoneticPr fontId="1" type="noConversion"/>
  </si>
  <si>
    <t>대구 검단</t>
    <phoneticPr fontId="1" type="noConversion"/>
  </si>
  <si>
    <t>02522657</t>
    <phoneticPr fontId="1" type="noConversion"/>
  </si>
  <si>
    <t>2022-11-03</t>
    <phoneticPr fontId="1" type="noConversion"/>
  </si>
  <si>
    <t>목포 연산</t>
    <phoneticPr fontId="1" type="noConversion"/>
  </si>
  <si>
    <t>전라남도 목포시 연산동 618-3</t>
    <phoneticPr fontId="1" type="noConversion"/>
  </si>
  <si>
    <t>인천광역시 서구 오류동 1620-7</t>
    <phoneticPr fontId="1" type="noConversion"/>
  </si>
  <si>
    <t>02631451</t>
    <phoneticPr fontId="1" type="noConversion"/>
  </si>
  <si>
    <t>2024-08-19</t>
    <phoneticPr fontId="1" type="noConversion"/>
  </si>
  <si>
    <t>창원 대원</t>
    <phoneticPr fontId="1" type="noConversion"/>
  </si>
  <si>
    <t>서울 마곡</t>
    <phoneticPr fontId="1" type="noConversion"/>
  </si>
  <si>
    <t>00007571</t>
    <phoneticPr fontId="1" type="noConversion"/>
  </si>
  <si>
    <t>에어프로덕츠(주) 울산2공장 수소자동차 충전소</t>
    <phoneticPr fontId="1" type="noConversion"/>
  </si>
  <si>
    <t>안산도시개발㈜</t>
    <phoneticPr fontId="1" type="noConversion"/>
  </si>
  <si>
    <t>효성하이드로젠(주) 광양초남 액화수소충전소</t>
    <phoneticPr fontId="1" type="noConversion"/>
  </si>
  <si>
    <t>광양 초남</t>
    <phoneticPr fontId="1" type="noConversion"/>
  </si>
  <si>
    <t>전라남도 광양시 광양읍 초남리 763-5</t>
    <phoneticPr fontId="1" type="noConversion"/>
  </si>
  <si>
    <t>02581738</t>
    <phoneticPr fontId="1" type="noConversion"/>
  </si>
  <si>
    <t>2023-11-30
2024-08-09</t>
    <phoneticPr fontId="1" type="noConversion"/>
  </si>
  <si>
    <t>전주 상림 수소충전소</t>
    <phoneticPr fontId="1" type="noConversion"/>
  </si>
  <si>
    <t>2021-09-17</t>
    <phoneticPr fontId="1" type="noConversion"/>
  </si>
  <si>
    <t>전주 상림</t>
    <phoneticPr fontId="1" type="noConversion"/>
  </si>
  <si>
    <t>전북특별자치도 전주시 완산구 콩쥐팥쥐로 1586</t>
    <phoneticPr fontId="1" type="noConversion"/>
  </si>
  <si>
    <t>02449411</t>
    <phoneticPr fontId="1" type="noConversion"/>
  </si>
  <si>
    <t>No</t>
    <phoneticPr fontId="1" type="noConversion"/>
  </si>
  <si>
    <t>고양 대화 액화수소충전소</t>
    <phoneticPr fontId="1" type="noConversion"/>
  </si>
  <si>
    <t>남해군 수소충전소</t>
    <phoneticPr fontId="1" type="noConversion"/>
  </si>
  <si>
    <t>2021-10-06
2024-02-20</t>
    <phoneticPr fontId="1" type="noConversion"/>
  </si>
  <si>
    <t>성남 사송 액화수소충전소</t>
    <phoneticPr fontId="1" type="noConversion"/>
  </si>
  <si>
    <t>남해 평현</t>
    <phoneticPr fontId="1" type="noConversion"/>
  </si>
  <si>
    <t>경상남도 남해군 남해읍 평현리 203 외 12필지</t>
    <phoneticPr fontId="1" type="noConversion"/>
  </si>
  <si>
    <t>02591930</t>
    <phoneticPr fontId="1" type="noConversion"/>
  </si>
  <si>
    <t>고양 대화</t>
    <phoneticPr fontId="1" type="noConversion"/>
  </si>
  <si>
    <t>경기도 고양시 일산서구 대수길 105</t>
    <phoneticPr fontId="1" type="noConversion"/>
  </si>
  <si>
    <t>02639851</t>
    <phoneticPr fontId="1" type="noConversion"/>
  </si>
  <si>
    <t>성남 사송</t>
    <phoneticPr fontId="1" type="noConversion"/>
  </si>
  <si>
    <t>경기도 성남시 수정구 사송로 41</t>
    <phoneticPr fontId="1" type="noConversion"/>
  </si>
  <si>
    <t>02630992</t>
    <phoneticPr fontId="1" type="noConversion"/>
  </si>
  <si>
    <t>완성검사</t>
  </si>
  <si>
    <t>주식회사 서진에너지(충주바이오그린수소충전소)</t>
    <phoneticPr fontId="1" type="noConversion"/>
  </si>
  <si>
    <t>㈜서진에너지</t>
    <phoneticPr fontId="1" type="noConversion"/>
  </si>
  <si>
    <t>튜브트레일러
액화수소저장탱크</t>
    <phoneticPr fontId="1" type="noConversion"/>
  </si>
  <si>
    <t>춘천 액화수소충전소</t>
    <phoneticPr fontId="1" type="noConversion"/>
  </si>
  <si>
    <t>춘천 학곡</t>
    <phoneticPr fontId="1" type="noConversion"/>
  </si>
  <si>
    <t>강원특별자치도 춘천시 동내면 학곡리 848</t>
    <phoneticPr fontId="1" type="noConversion"/>
  </si>
  <si>
    <t>02622535</t>
    <phoneticPr fontId="1" type="noConversion"/>
  </si>
  <si>
    <t>2024-07-15
2025-02-05</t>
    <phoneticPr fontId="1" type="noConversion"/>
  </si>
  <si>
    <r>
      <rPr>
        <sz val="10"/>
        <color theme="1"/>
        <rFont val="맑은 고딕"/>
        <family val="3"/>
        <charset val="129"/>
        <scheme val="major"/>
      </rPr>
      <t>('21.2.) 변경 완성검사</t>
    </r>
    <r>
      <rPr>
        <b/>
        <sz val="10"/>
        <color rgb="FF0070C0"/>
        <rFont val="맑은 고딕"/>
        <family val="3"/>
        <charset val="129"/>
        <scheme val="major"/>
      </rPr>
      <t xml:space="preserve">
('22.8.)변경완성검사 이후 압축기, 충전기 수량 1기 증가</t>
    </r>
    <phoneticPr fontId="1" type="noConversion"/>
  </si>
  <si>
    <t>('20.1.) 변경 완성검사
('24.2.) 변경 완성검사</t>
    <phoneticPr fontId="1" type="noConversion"/>
  </si>
  <si>
    <t>('23.12.)압축기 2대(범한 1기, GTC 1기), 충전기 1기 증가</t>
    <phoneticPr fontId="1" type="noConversion"/>
  </si>
  <si>
    <t>('22.7.)변경완성검사(충전기 수량 1기 증가)</t>
    <phoneticPr fontId="1" type="noConversion"/>
  </si>
  <si>
    <t>('22.12.)변경완성검사(충전기 수량 1기 증가)</t>
    <phoneticPr fontId="1" type="noConversion"/>
  </si>
  <si>
    <t>('23.2.)변경완성검사(충전기 수량 1기 증가)</t>
    <phoneticPr fontId="1" type="noConversion"/>
  </si>
  <si>
    <t>('21.11.)변경완성검사(충전기 수량 2기 증가)</t>
    <phoneticPr fontId="1" type="noConversion"/>
  </si>
  <si>
    <t>(22.11.)변경완성검사(충전기 수량 1기 증가)</t>
    <phoneticPr fontId="1" type="noConversion"/>
  </si>
  <si>
    <t>2기의 충전기로 차량 4대 동시충전 가능</t>
    <phoneticPr fontId="1" type="noConversion"/>
  </si>
  <si>
    <t>('23.1.)변경완성검사(충전기 수량 1기 증가)</t>
    <phoneticPr fontId="1" type="noConversion"/>
  </si>
  <si>
    <t>('22.12.)변경 완성검사(충전기 수량 1기 증가)</t>
    <phoneticPr fontId="1" type="noConversion"/>
  </si>
  <si>
    <t>1기 예비용 운영</t>
    <phoneticPr fontId="1" type="noConversion"/>
  </si>
  <si>
    <t>1기의 충전기로 차량 2대 동시충전 가능</t>
    <phoneticPr fontId="1" type="noConversion"/>
  </si>
  <si>
    <t>('23.2.)변경 완성검사(충전기 수량 1기 증가)</t>
    <phoneticPr fontId="1" type="noConversion"/>
  </si>
  <si>
    <r>
      <rPr>
        <sz val="10"/>
        <color theme="1"/>
        <rFont val="맑은 고딕"/>
        <family val="3"/>
        <charset val="129"/>
      </rPr>
      <t>※</t>
    </r>
    <r>
      <rPr>
        <sz val="7"/>
        <color theme="1"/>
        <rFont val="맑은 고딕"/>
        <family val="3"/>
        <charset val="129"/>
      </rPr>
      <t xml:space="preserve"> </t>
    </r>
    <r>
      <rPr>
        <sz val="10"/>
        <color theme="1"/>
        <rFont val="맑은 고딕"/>
        <family val="2"/>
        <charset val="129"/>
        <scheme val="minor"/>
      </rPr>
      <t xml:space="preserve">1기의 충전기로 차량 2대 동시충전 가능
</t>
    </r>
    <r>
      <rPr>
        <b/>
        <sz val="10"/>
        <color rgb="FF0070C0"/>
        <rFont val="맑은 고딕"/>
        <family val="3"/>
        <charset val="129"/>
        <scheme val="minor"/>
      </rPr>
      <t>('23.1.)변경 완성검사(충전기 수량 1기 증가)</t>
    </r>
    <phoneticPr fontId="1" type="noConversion"/>
  </si>
  <si>
    <t>('22.11.)변경 완성검사(충전기 수량 1기 증가)</t>
    <phoneticPr fontId="1" type="noConversion"/>
  </si>
  <si>
    <t>('24.1) 변경 완성검사</t>
    <phoneticPr fontId="1" type="noConversion"/>
  </si>
  <si>
    <t>('21.8) 변경 완성검사</t>
    <phoneticPr fontId="1" type="noConversion"/>
  </si>
  <si>
    <t>('23.8) 변경 완성검사</t>
    <phoneticPr fontId="1" type="noConversion"/>
  </si>
  <si>
    <t>('24.1.)변경 완성검사 - 처리설비 상용압력 변경</t>
    <phoneticPr fontId="1" type="noConversion"/>
  </si>
  <si>
    <t>('24.3)변경 완성검사 - 압축가스설비 및 압축기, 충전기 각각 1ea 증설</t>
    <phoneticPr fontId="1" type="noConversion"/>
  </si>
  <si>
    <t>('24.4))변경 완성검사 - 압축기(2ea) 및 압축가스설비(4ea), 충전기(1ea) 증설</t>
    <phoneticPr fontId="1" type="noConversion"/>
  </si>
  <si>
    <r>
      <t xml:space="preserve">('22.11.) 변경 완성검사 - 저장설비 추가(NK+VITCOVICE), 
('23.3.) 변경완성검사 - 제조식 추가(추출설비 1기, 압축기 3대 증가)
('24.2.) 변경 완성검사 - 처리설비(압축기) 변경
</t>
    </r>
    <r>
      <rPr>
        <b/>
        <sz val="10"/>
        <color rgb="FF0070C0"/>
        <rFont val="맑은 고딕"/>
        <family val="3"/>
        <charset val="129"/>
        <scheme val="minor"/>
      </rPr>
      <t>('24.5.) 변경 완성검사(압축기 수량 1기 및 충전기 수량 1기 증가)</t>
    </r>
    <phoneticPr fontId="1" type="noConversion"/>
  </si>
  <si>
    <t>('24.10) 압축기(1ea) 증설 및 충전기(1ea) 변경</t>
    <phoneticPr fontId="1" type="noConversion"/>
  </si>
  <si>
    <t>('22.10.) 변경완성검사 - 저장설비 추가(NK+VITCOVICE)</t>
    <phoneticPr fontId="1" type="noConversion"/>
  </si>
  <si>
    <t>('23.8.) 변경완성검사</t>
    <phoneticPr fontId="1" type="noConversion"/>
  </si>
  <si>
    <r>
      <rPr>
        <sz val="10"/>
        <color theme="1"/>
        <rFont val="맑은 고딕"/>
        <family val="3"/>
        <charset val="129"/>
        <scheme val="minor"/>
      </rPr>
      <t>('25.3.)변경완성검사(개질기, 압축기 등 추가)</t>
    </r>
    <r>
      <rPr>
        <b/>
        <sz val="10"/>
        <color rgb="FF0070C0"/>
        <rFont val="맑은 고딕"/>
        <family val="3"/>
        <charset val="129"/>
        <scheme val="minor"/>
      </rPr>
      <t xml:space="preserve">
</t>
    </r>
    <r>
      <rPr>
        <sz val="10"/>
        <color theme="1"/>
        <rFont val="맑은 고딕"/>
        <family val="3"/>
        <charset val="129"/>
        <scheme val="minor"/>
      </rPr>
      <t>('25.4.)변경 완성검사(T/T 충전구 등 추가)</t>
    </r>
    <r>
      <rPr>
        <sz val="10"/>
        <color rgb="FF0070C0"/>
        <rFont val="맑은 고딕"/>
        <family val="3"/>
        <charset val="129"/>
        <scheme val="minor"/>
      </rPr>
      <t xml:space="preserve"> </t>
    </r>
    <phoneticPr fontId="1" type="noConversion"/>
  </si>
  <si>
    <t>('23.1.) 변경 완성검사(개질기 추가)</t>
    <phoneticPr fontId="1" type="noConversion"/>
  </si>
  <si>
    <t xml:space="preserve">('24.5.)변경 완성검사(압축기 전단 상용압력 변경 및 질소용기 추가) </t>
    <phoneticPr fontId="1" type="noConversion"/>
  </si>
  <si>
    <t>('25.5.)변경 완성검사(충전기 수량 1기 증가)</t>
    <phoneticPr fontId="1" type="noConversion"/>
  </si>
  <si>
    <t>이동식수소충전소 차량 2대(상호 공유)</t>
    <phoneticPr fontId="1" type="noConversion"/>
  </si>
  <si>
    <t>현대로템 충전기 1대, TATSN상용차 충전기 1대</t>
  </si>
  <si>
    <t>도심지 수소충전소 규제샌드박스 시설</t>
    <phoneticPr fontId="1" type="noConversion"/>
  </si>
  <si>
    <t>350bar 1기, 700bar 2기</t>
    <phoneticPr fontId="1" type="noConversion"/>
  </si>
  <si>
    <t>(사업 미개시)</t>
    <phoneticPr fontId="1" type="noConversion"/>
  </si>
  <si>
    <t>22.2.5 변경기검(사업소경게변경, 저장능력 감소)</t>
    <phoneticPr fontId="1" type="noConversion"/>
  </si>
  <si>
    <t>혼합식 충전시설(제조식+저장식+용기충전)
용기충전구 1개 수량 미포함</t>
    <phoneticPr fontId="1" type="noConversion"/>
  </si>
  <si>
    <t>충전기 수량 : 350bar 1기, 700bar 1기(범한 충전기 1대로 2기 충전)
('24.8.)변경완성검사 이후 충전기 수량 1기 증가</t>
    <phoneticPr fontId="1" type="noConversion"/>
  </si>
  <si>
    <t>건설기계 충전 규제특례시설</t>
    <phoneticPr fontId="1" type="noConversion"/>
  </si>
  <si>
    <t>혼합식 충전시설(제조식+저장식+용기충전)
용기충전구 3개(20MPa - 2기, 55MPa - 1기) 수량 미포함</t>
    <phoneticPr fontId="1" type="noConversion"/>
  </si>
  <si>
    <t>액화수소 저장식 수소자동차 충전시설(규제샌드박스)</t>
    <phoneticPr fontId="1" type="noConversion"/>
  </si>
  <si>
    <t>혼합식 충전시설(제조식+저장식)</t>
    <phoneticPr fontId="1" type="noConversion"/>
  </si>
  <si>
    <t>연구용시설</t>
    <phoneticPr fontId="1" type="noConversion"/>
  </si>
  <si>
    <t>혼합식 충전시설(제조식+저장식) -&gt; FP217+FP211</t>
    <phoneticPr fontId="1" type="noConversion"/>
  </si>
  <si>
    <t>수소지게차 전용 수소충전소(규제샌드박스)</t>
    <phoneticPr fontId="1" type="noConversion"/>
  </si>
  <si>
    <t>넥쏘충전 차량 Site (충전기 수량 미산정)</t>
    <phoneticPr fontId="1" type="noConversion"/>
  </si>
  <si>
    <r>
      <t>액화수소 저장식 수소자동차 충전시설(규제샌드박스)</t>
    </r>
    <r>
      <rPr>
        <b/>
        <sz val="10"/>
        <color rgb="FFFF00FF"/>
        <rFont val="맑은 고딕"/>
        <family val="3"/>
        <charset val="129"/>
        <scheme val="minor"/>
      </rPr>
      <t xml:space="preserve"> </t>
    </r>
    <phoneticPr fontId="1" type="noConversion"/>
  </si>
  <si>
    <r>
      <t xml:space="preserve">액화수소 저장식 수소자동차 충전시설(규제샌드박스)
</t>
    </r>
    <r>
      <rPr>
        <sz val="10"/>
        <color theme="1"/>
        <rFont val="맑은 고딕"/>
        <family val="3"/>
        <charset val="129"/>
        <scheme val="minor"/>
      </rPr>
      <t>('25.05) 변경 완성검사(상용압력 변경)</t>
    </r>
    <phoneticPr fontId="1" type="noConversion"/>
  </si>
  <si>
    <r>
      <t>액화수소 저장식 수소자동차 충전시설(규제샌드박스)</t>
    </r>
    <r>
      <rPr>
        <b/>
        <sz val="10"/>
        <color rgb="FFFF00FF"/>
        <rFont val="맑은 고딕"/>
        <family val="3"/>
        <charset val="129"/>
        <scheme val="minor"/>
      </rPr>
      <t xml:space="preserve"> 
</t>
    </r>
    <r>
      <rPr>
        <sz val="10"/>
        <color theme="1"/>
        <rFont val="맑은 고딕"/>
        <family val="3"/>
        <charset val="129"/>
        <scheme val="minor"/>
      </rPr>
      <t>('25.05) 변경 완성검사(상용압력 변경)</t>
    </r>
    <phoneticPr fontId="1" type="noConversion"/>
  </si>
  <si>
    <t>옥동LPG충전소</t>
    <phoneticPr fontId="1" type="noConversion"/>
  </si>
  <si>
    <t>㈜신일</t>
    <phoneticPr fontId="1" type="noConversion"/>
  </si>
  <si>
    <t>그린주유소</t>
    <phoneticPr fontId="1" type="noConversion"/>
  </si>
  <si>
    <t>언양휴게소</t>
    <phoneticPr fontId="1" type="noConversion"/>
  </si>
  <si>
    <t>㈜이엠석유</t>
    <phoneticPr fontId="1" type="noConversion"/>
  </si>
  <si>
    <t>논현충전소</t>
    <phoneticPr fontId="1" type="noConversion"/>
  </si>
  <si>
    <t>도원주유소</t>
    <phoneticPr fontId="1" type="noConversion"/>
  </si>
  <si>
    <t>오창관문주유소</t>
    <phoneticPr fontId="1" type="noConversion"/>
  </si>
  <si>
    <t>연수LPG충전소</t>
    <phoneticPr fontId="1" type="noConversion"/>
  </si>
  <si>
    <t>㈜투게더 주유소</t>
    <phoneticPr fontId="1" type="noConversion"/>
  </si>
  <si>
    <t>㈜삼한</t>
    <phoneticPr fontId="1" type="noConversion"/>
  </si>
  <si>
    <t>서진주충전소</t>
    <phoneticPr fontId="1" type="noConversion"/>
  </si>
  <si>
    <t>개미셀프주유소</t>
    <phoneticPr fontId="1" type="noConversion"/>
  </si>
  <si>
    <t>㈜풀무원푸드앤컬처</t>
    <phoneticPr fontId="1" type="noConversion"/>
  </si>
  <si>
    <t>덕유산 휴게소</t>
    <phoneticPr fontId="1" type="noConversion"/>
  </si>
  <si>
    <t>(쭈)대청산업개발</t>
    <phoneticPr fontId="1" type="noConversion"/>
  </si>
  <si>
    <t>하이넷, SPG, 현대글로비스</t>
    <phoneticPr fontId="1" type="noConversion"/>
  </si>
  <si>
    <t>안동휴게소</t>
    <phoneticPr fontId="1" type="noConversion"/>
  </si>
  <si>
    <t>2023-06-27
2025-04-28</t>
    <phoneticPr fontId="1" type="noConversion"/>
  </si>
  <si>
    <t>('25.6.)변경완성검사 이후 충전기 수량 1기 증가</t>
    <phoneticPr fontId="1" type="noConversion"/>
  </si>
  <si>
    <t>이동식(LPG복합)</t>
    <phoneticPr fontId="1" type="noConversion"/>
  </si>
  <si>
    <t>평택 모곡 액화수소충전소</t>
    <phoneticPr fontId="1" type="noConversion"/>
  </si>
  <si>
    <t>평택 모곡</t>
    <phoneticPr fontId="1" type="noConversion"/>
  </si>
  <si>
    <t>경기도 평택시 모곡동 544, 545, 546</t>
    <phoneticPr fontId="1" type="noConversion"/>
  </si>
  <si>
    <t>02625808</t>
    <phoneticPr fontId="1" type="noConversion"/>
  </si>
  <si>
    <t>2024-07-19
2025-01-14</t>
    <phoneticPr fontId="1" type="noConversion"/>
  </si>
  <si>
    <t>인천 신흥 액화수소충전소</t>
    <phoneticPr fontId="1" type="noConversion"/>
  </si>
  <si>
    <t>인천광역시 중구 신흥동3가 65-33</t>
    <phoneticPr fontId="1" type="noConversion"/>
  </si>
  <si>
    <t>02630613</t>
  </si>
  <si>
    <t>2024-10-29
2025-01-21</t>
    <phoneticPr fontId="1" type="noConversion"/>
  </si>
  <si>
    <t>논산 수소충전소</t>
    <phoneticPr fontId="1" type="noConversion"/>
  </si>
  <si>
    <t>논산 부적</t>
    <phoneticPr fontId="1" type="noConversion"/>
  </si>
  <si>
    <t>논산시</t>
    <phoneticPr fontId="1" type="noConversion"/>
  </si>
  <si>
    <t>충청남도 논산시 부적면 계백로1546번길 13-5 외 7필지</t>
    <phoneticPr fontId="1" type="noConversion"/>
  </si>
  <si>
    <t>02660492</t>
    <phoneticPr fontId="1" type="noConversion"/>
  </si>
  <si>
    <t>익산 송학</t>
    <phoneticPr fontId="1" type="noConversion"/>
  </si>
  <si>
    <t>전북특별자치도 익산시 오산면 평동로 349</t>
    <phoneticPr fontId="1" type="noConversion"/>
  </si>
  <si>
    <t>02586607</t>
    <phoneticPr fontId="1" type="noConversion"/>
  </si>
  <si>
    <t>2023-11-30
2025-07-07</t>
    <phoneticPr fontId="1" type="noConversion"/>
  </si>
  <si>
    <t>TATSUNO
(MS이엔지)</t>
    <phoneticPr fontId="1" type="noConversion"/>
  </si>
  <si>
    <t>김제시 수소충전소</t>
    <phoneticPr fontId="1" type="noConversion"/>
  </si>
  <si>
    <t>김제 하동</t>
    <phoneticPr fontId="1" type="noConversion"/>
  </si>
  <si>
    <t>김제시청</t>
    <phoneticPr fontId="1" type="noConversion"/>
  </si>
  <si>
    <t>전북특별자치도 김제시 하동 414번지 외 3필지</t>
    <phoneticPr fontId="1" type="noConversion"/>
  </si>
  <si>
    <t>02640357</t>
    <phoneticPr fontId="1" type="noConversion"/>
  </si>
  <si>
    <t>2024-10-30
2024-12-06
2025-05-14</t>
    <phoneticPr fontId="1" type="noConversion"/>
  </si>
  <si>
    <t>휴지('24.12.6.~'25.12.5.)</t>
    <phoneticPr fontId="1" type="noConversion"/>
  </si>
  <si>
    <t>휴지('24.7.31.~'25.7.30)</t>
    <phoneticPr fontId="1" type="noConversion"/>
  </si>
  <si>
    <r>
      <rPr>
        <sz val="10"/>
        <color theme="1"/>
        <rFont val="맑은 고딕"/>
        <family val="3"/>
        <charset val="129"/>
        <scheme val="major"/>
      </rPr>
      <t>('21.8.) 변경 완성검사</t>
    </r>
    <r>
      <rPr>
        <b/>
        <sz val="10"/>
        <color rgb="FFFF0000"/>
        <rFont val="맑은 고딕"/>
        <family val="3"/>
        <charset val="129"/>
        <scheme val="major"/>
      </rPr>
      <t xml:space="preserve">
휴지('25.1.8.~'25.12.31.)</t>
    </r>
    <phoneticPr fontId="1" type="noConversion"/>
  </si>
  <si>
    <t>휴지('24.1.12.~)</t>
    <phoneticPr fontId="1" type="noConversion"/>
  </si>
  <si>
    <t>휴지('25.1.6.~'25.12.31.)</t>
    <phoneticPr fontId="1" type="noConversion"/>
  </si>
  <si>
    <t>휴지('25.3.20.~'26.3.19.)</t>
    <phoneticPr fontId="1" type="noConversion"/>
  </si>
  <si>
    <r>
      <t xml:space="preserve">기존 패키지형 -&gt; 저장식 변경(배관공급식), </t>
    </r>
    <r>
      <rPr>
        <b/>
        <sz val="10"/>
        <color rgb="FFFF0000"/>
        <rFont val="맑은 고딕"/>
        <family val="3"/>
        <charset val="129"/>
        <scheme val="minor"/>
      </rPr>
      <t>휴지('25.7.10.~'26.7.9.)</t>
    </r>
    <r>
      <rPr>
        <sz val="10"/>
        <color theme="1"/>
        <rFont val="맑은 고딕"/>
        <family val="3"/>
        <charset val="129"/>
        <scheme val="minor"/>
      </rPr>
      <t xml:space="preserve">
가스공사 정압기지 부지 연접</t>
    </r>
    <phoneticPr fontId="1" type="noConversion"/>
  </si>
  <si>
    <t>이동식 수소충전소 차량</t>
    <phoneticPr fontId="1" type="noConversion"/>
  </si>
  <si>
    <t>저장식(TT+액화)</t>
    <phoneticPr fontId="1" type="noConversion"/>
  </si>
  <si>
    <t xml:space="preserve"> 수소열차 충전소 규제샌드박스 시설</t>
    <phoneticPr fontId="1" type="noConversion"/>
  </si>
  <si>
    <r>
      <t xml:space="preserve">액화수소 저장식 수소자동차 충전시설(규제샌드박스), </t>
    </r>
    <r>
      <rPr>
        <b/>
        <sz val="10"/>
        <color rgb="FFFF0000"/>
        <rFont val="맑은 고딕"/>
        <family val="3"/>
        <charset val="129"/>
        <scheme val="minor"/>
      </rPr>
      <t>휴지('25.9.30.~)</t>
    </r>
    <phoneticPr fontId="1" type="noConversion"/>
  </si>
  <si>
    <t>고창 벽송</t>
    <phoneticPr fontId="1" type="noConversion"/>
  </si>
  <si>
    <t>SK가스(미정)</t>
    <phoneticPr fontId="1" type="noConversion"/>
  </si>
  <si>
    <t>전북특별자치도 고창군 신림면 벽송리 산145 외 4필지</t>
    <phoneticPr fontId="1" type="noConversion"/>
  </si>
  <si>
    <t>02645371</t>
    <phoneticPr fontId="1" type="noConversion"/>
  </si>
  <si>
    <t>HnPower
에스지티</t>
    <phoneticPr fontId="1" type="noConversion"/>
  </si>
  <si>
    <t>현대자동차 이동식 수소충전소</t>
    <phoneticPr fontId="1" type="noConversion"/>
  </si>
  <si>
    <t>경기도 성남시 수정구 사송동 439-3 외 5필지</t>
    <phoneticPr fontId="1" type="noConversion"/>
  </si>
  <si>
    <t>02640637</t>
  </si>
  <si>
    <t>('25.09) 변경 완성검사(압축기, 충전기(+1) 등 충전라인 증설)</t>
    <phoneticPr fontId="1" type="noConversion"/>
  </si>
  <si>
    <r>
      <t xml:space="preserve">액화수소 저장식 수소자동차 충전시설(규제샌드박스) / </t>
    </r>
    <r>
      <rPr>
        <b/>
        <sz val="10"/>
        <color rgb="FFFF0000"/>
        <rFont val="맑은 고딕"/>
        <family val="3"/>
        <charset val="129"/>
        <scheme val="minor"/>
      </rPr>
      <t>휴지('25.11.29.~)</t>
    </r>
    <phoneticPr fontId="1" type="noConversion"/>
  </si>
  <si>
    <t>평택 신장</t>
    <phoneticPr fontId="1" type="noConversion"/>
  </si>
  <si>
    <t>GS칼텍스</t>
    <phoneticPr fontId="1" type="noConversion"/>
  </si>
  <si>
    <t>경기도 평택시 신장동 75-1</t>
    <phoneticPr fontId="1" type="noConversion"/>
  </si>
  <si>
    <t>02629519</t>
  </si>
  <si>
    <t>2024-08-01
2025-03-17</t>
    <phoneticPr fontId="1" type="noConversion"/>
  </si>
  <si>
    <t>주식회사 패리티(액화수소 드론 충전시설)</t>
    <phoneticPr fontId="1" type="noConversion"/>
  </si>
  <si>
    <t>태안 양잠</t>
    <phoneticPr fontId="1" type="noConversion"/>
  </si>
  <si>
    <t>패리티</t>
    <phoneticPr fontId="1" type="noConversion"/>
  </si>
  <si>
    <t>충청남도 태안군 남면 기업도시로 1133</t>
    <phoneticPr fontId="1" type="noConversion"/>
  </si>
  <si>
    <t>02678202</t>
    <phoneticPr fontId="1" type="noConversion"/>
  </si>
  <si>
    <t>액화수소 직공급 
충전호스</t>
    <phoneticPr fontId="1" type="noConversion"/>
  </si>
  <si>
    <r>
      <rPr>
        <b/>
        <sz val="10"/>
        <color rgb="FFFF00FF"/>
        <rFont val="맑은 고딕"/>
        <family val="3"/>
        <charset val="129"/>
        <scheme val="minor"/>
      </rPr>
      <t>(사업 미개시)</t>
    </r>
    <r>
      <rPr>
        <b/>
        <sz val="10"/>
        <rFont val="맑은 고딕"/>
        <family val="3"/>
        <charset val="129"/>
        <scheme val="minor"/>
      </rPr>
      <t xml:space="preserve">
* 액화수소 직공급 이동식 드론 충전시설(충전 안전성능 확인평가 비대상) </t>
    </r>
    <phoneticPr fontId="1" type="noConversion"/>
  </si>
  <si>
    <t>효성 경산계림 액화수소충전소</t>
    <phoneticPr fontId="1" type="noConversion"/>
  </si>
  <si>
    <t>경산 계림</t>
    <phoneticPr fontId="1" type="noConversion"/>
  </si>
  <si>
    <t>경상북도 경산시 자인면 계림리 32-1, 32-2, 33</t>
    <phoneticPr fontId="1" type="noConversion"/>
  </si>
  <si>
    <t>02610773</t>
    <phoneticPr fontId="1" type="noConversion"/>
  </si>
  <si>
    <r>
      <rPr>
        <b/>
        <sz val="10"/>
        <color rgb="FFFF00FF"/>
        <rFont val="맑은 고딕"/>
        <family val="3"/>
        <charset val="129"/>
        <scheme val="minor"/>
      </rPr>
      <t>(사업 미개시)</t>
    </r>
    <r>
      <rPr>
        <b/>
        <sz val="10"/>
        <color rgb="FF00B050"/>
        <rFont val="맑은 고딕"/>
        <family val="3"/>
        <charset val="129"/>
        <scheme val="minor"/>
      </rPr>
      <t xml:space="preserve">
액화수소 저장식 수소자동차 충전시설(규제샌드박스)</t>
    </r>
    <phoneticPr fontId="1" type="noConversion"/>
  </si>
  <si>
    <t>평창 대관령 액화수소충전소</t>
    <phoneticPr fontId="1" type="noConversion"/>
  </si>
  <si>
    <t>강원특별자치도 평창군 대관령면 횡계리 14-297</t>
    <phoneticPr fontId="1" type="noConversion"/>
  </si>
  <si>
    <t>인천 송도 액화수소충전소</t>
    <phoneticPr fontId="1" type="noConversion"/>
  </si>
  <si>
    <t>인천광역시 연수구 송도동 13-60</t>
    <phoneticPr fontId="1" type="noConversion"/>
  </si>
  <si>
    <t>02483926</t>
    <phoneticPr fontId="1" type="noConversion"/>
  </si>
  <si>
    <t>모드버스 징구여부</t>
    <phoneticPr fontId="1" type="noConversion"/>
  </si>
  <si>
    <t>모니터링 설치</t>
    <phoneticPr fontId="1" type="noConversion"/>
  </si>
  <si>
    <t>모드버스 작동여부</t>
    <phoneticPr fontId="1" type="noConversion"/>
  </si>
  <si>
    <t>문자수신 안됨</t>
    <phoneticPr fontId="1" type="noConversion"/>
  </si>
  <si>
    <t>스테이션 ID 확인필요 (중복)
블루맥스 ID 확인필요</t>
    <phoneticPr fontId="1" type="noConversion"/>
  </si>
  <si>
    <t>블루맥스 ID 미배정</t>
    <phoneticPr fontId="1" type="noConversion"/>
  </si>
  <si>
    <t>설치</t>
    <phoneticPr fontId="1" type="noConversion"/>
  </si>
  <si>
    <t>이엠코리아 부분 확인필요</t>
    <phoneticPr fontId="1" type="noConversion"/>
  </si>
  <si>
    <t>범한(kgs_105 신규) / 광신(kgs_279 기존) 두 파트다 ok</t>
    <phoneticPr fontId="1" type="noConversion"/>
  </si>
  <si>
    <t>넬코리아 이슈로 패키지 안쪽 FD 정상 그 외에는 ESD로 들어옴 / 192.168.0.61 로 해야 들어옴 (제어PC : 192.168.0.99, 설치PC 192.168.0.86)</t>
    <phoneticPr fontId="1" type="noConversion"/>
  </si>
  <si>
    <t xml:space="preserve">설치 </t>
    <phoneticPr fontId="1" type="noConversion"/>
  </si>
  <si>
    <t>FD 테스트 불가 기기 호환성 문제 그외 OK</t>
    <phoneticPr fontId="1" type="noConversion"/>
  </si>
  <si>
    <t>23년1월 GD ESD 마지막 FD 이력 없음</t>
    <phoneticPr fontId="1" type="noConversion"/>
  </si>
  <si>
    <t>블루맥스 ID 확인필요</t>
    <phoneticPr fontId="1" type="noConversion"/>
  </si>
  <si>
    <t>작업 안됬다고 PLC 업자가 말함</t>
    <phoneticPr fontId="1" type="noConversion"/>
  </si>
  <si>
    <t>O</t>
    <phoneticPr fontId="1" type="noConversion"/>
  </si>
  <si>
    <t>문자수신 안됨 / 블루맥스 ID 미배정 손재준 소장 맵핑 준다고함 010 2837 3598</t>
    <phoneticPr fontId="1" type="noConversion"/>
  </si>
  <si>
    <t>발안 ?</t>
    <phoneticPr fontId="1" type="noConversion"/>
  </si>
  <si>
    <t>문자수신 안됨 / 블루맥스 ID 미배정</t>
    <phoneticPr fontId="1" type="noConversion"/>
  </si>
  <si>
    <t>이상 신호 및 통계 조회 불가 / 7.28 이후 신호 확인필요</t>
    <phoneticPr fontId="1" type="noConversion"/>
  </si>
  <si>
    <t>매핑 미설치 담당자 TMS21 손재준 소장 010 2387 3598</t>
    <phoneticPr fontId="1" type="noConversion"/>
  </si>
  <si>
    <t>화염감지기 일부 안옴</t>
    <phoneticPr fontId="1" type="noConversion"/>
  </si>
  <si>
    <t>액화수소충전소</t>
    <phoneticPr fontId="1" type="noConversion"/>
  </si>
  <si>
    <t>X</t>
    <phoneticPr fontId="1" type="noConversion"/>
  </si>
  <si>
    <t xml:space="preserve">가스감지기 부분작동 좌측 판넬 신호안옴 및 ESD 부분작동 </t>
    <phoneticPr fontId="1" type="noConversion"/>
  </si>
  <si>
    <t>메시지는 오는데 이상신호가 안나타남</t>
    <phoneticPr fontId="1" type="noConversion"/>
  </si>
  <si>
    <t>미설치</t>
    <phoneticPr fontId="1" type="noConversion"/>
  </si>
  <si>
    <t>담당자 GSA 김병호 대표 010 9673 3599</t>
    <phoneticPr fontId="1" type="noConversion"/>
  </si>
  <si>
    <t>설치</t>
    <phoneticPr fontId="1" type="noConversion"/>
  </si>
  <si>
    <t>현장 테스트 필요</t>
    <phoneticPr fontId="1" type="noConversion"/>
  </si>
  <si>
    <t>설비동 증설 FD 제외하고 FD 울리지 않음 = FD 한곳만 작동</t>
    <phoneticPr fontId="1" type="noConversion"/>
  </si>
  <si>
    <t>스테이션 ID 확인필요 (중복)</t>
    <phoneticPr fontId="1" type="noConversion"/>
  </si>
  <si>
    <t xml:space="preserve">FD 가 GD로 같이 넘어옴 </t>
    <phoneticPr fontId="1" type="noConversion"/>
  </si>
  <si>
    <t>ESD 문자 안옴 오앤오 테크 박정윤 대리랑 연락해 봐야 할듯</t>
    <phoneticPr fontId="1" type="noConversion"/>
  </si>
  <si>
    <t>설치불가 / 이동식</t>
    <phoneticPr fontId="1" type="noConversion"/>
  </si>
  <si>
    <t>액화수소충전소 / 미설치</t>
    <phoneticPr fontId="1" type="noConversion"/>
  </si>
  <si>
    <t>대전 금고</t>
    <phoneticPr fontId="1" type="noConversion"/>
  </si>
  <si>
    <t>튜브트레일러, 수전해설비</t>
    <phoneticPr fontId="1" type="noConversion"/>
  </si>
  <si>
    <t>대전광역시(미정)</t>
    <phoneticPr fontId="1" type="noConversion"/>
  </si>
  <si>
    <t>대전광역시 유성구 금남구즉로 1158 외 2필지 (금고동)</t>
    <phoneticPr fontId="1" type="noConversion"/>
  </si>
  <si>
    <t>02594149</t>
  </si>
  <si>
    <t>2024-10-28
2025-06-17</t>
    <phoneticPr fontId="1" type="noConversion"/>
  </si>
  <si>
    <t>이엠코리아㈜</t>
    <phoneticPr fontId="1" type="noConversion"/>
  </si>
  <si>
    <t>인천 운서 액화수소충전소</t>
    <phoneticPr fontId="1" type="noConversion"/>
  </si>
  <si>
    <t>인천 운서</t>
    <phoneticPr fontId="1" type="noConversion"/>
  </si>
  <si>
    <t>인천광역시 중구 제2터미널대로 270</t>
    <phoneticPr fontId="1" type="noConversion"/>
  </si>
  <si>
    <t>02673298</t>
  </si>
  <si>
    <t>액화수소 저장식 수소자동차 충전시설(규제샌드박스)</t>
  </si>
  <si>
    <t>경남에너지 수소충전소</t>
    <phoneticPr fontId="1" type="noConversion"/>
  </si>
  <si>
    <t>창원 웅남</t>
    <phoneticPr fontId="1" type="noConversion"/>
  </si>
  <si>
    <t>수전해설비</t>
    <phoneticPr fontId="1" type="noConversion"/>
  </si>
  <si>
    <t>경남에너지</t>
    <phoneticPr fontId="1" type="noConversion"/>
  </si>
  <si>
    <t>경상남도 창원시 성산구 연덕로 18</t>
    <phoneticPr fontId="1" type="noConversion"/>
  </si>
  <si>
    <t>02607834</t>
  </si>
  <si>
    <t>태산엔지니어링</t>
    <phoneticPr fontId="1" type="noConversion"/>
  </si>
  <si>
    <t>수원 고색 액화수소충전소</t>
    <phoneticPr fontId="1" type="noConversion"/>
  </si>
  <si>
    <t>수원 고색</t>
    <phoneticPr fontId="1" type="noConversion"/>
  </si>
  <si>
    <t>경기도 수원시 권선구 고색동 1196</t>
    <phoneticPr fontId="1" type="noConversion"/>
  </si>
  <si>
    <t>02679974</t>
  </si>
  <si>
    <t>2025-06-24
2025-08-18</t>
    <phoneticPr fontId="1" type="noConversion"/>
  </si>
  <si>
    <t>태백 오케이 수소충전소</t>
    <phoneticPr fontId="1" type="noConversion"/>
  </si>
  <si>
    <t>태백 통동</t>
    <phoneticPr fontId="1" type="noConversion"/>
  </si>
  <si>
    <t>오케이에너지</t>
    <phoneticPr fontId="1" type="noConversion"/>
  </si>
  <si>
    <t>강원특별자치도 태백시 동태백로 1141</t>
  </si>
  <si>
    <t>02684454</t>
  </si>
  <si>
    <t>보령 대천</t>
    <phoneticPr fontId="1" type="noConversion"/>
  </si>
  <si>
    <t>보령시(미정)</t>
    <phoneticPr fontId="1" type="noConversion"/>
  </si>
  <si>
    <t>충청남도 보령시 대천동 1244</t>
    <phoneticPr fontId="1" type="noConversion"/>
  </si>
  <si>
    <t>02667801</t>
  </si>
  <si>
    <t>단양군 수소충전소</t>
    <phoneticPr fontId="1" type="noConversion"/>
  </si>
  <si>
    <t>단양 별곡</t>
    <phoneticPr fontId="1" type="noConversion"/>
  </si>
  <si>
    <t>단양군청(미정)</t>
    <phoneticPr fontId="1" type="noConversion"/>
  </si>
  <si>
    <t>충청북도 단양군 단양읍 별곡리 83-7</t>
    <phoneticPr fontId="1" type="noConversion"/>
  </si>
  <si>
    <t>02669564</t>
  </si>
  <si>
    <t>용인 고림</t>
    <phoneticPr fontId="1" type="noConversion"/>
  </si>
  <si>
    <t>경기도 용인시 처인구 고림동 72-1 외 4필지</t>
    <phoneticPr fontId="1" type="noConversion"/>
  </si>
  <si>
    <t>02649406</t>
  </si>
  <si>
    <t>2024-12-12
2025-09-08</t>
    <phoneticPr fontId="1" type="noConversion"/>
  </si>
  <si>
    <t>설치</t>
    <phoneticPr fontId="1" type="noConversion"/>
  </si>
  <si>
    <t>휴지</t>
    <phoneticPr fontId="1" type="noConversion"/>
  </si>
  <si>
    <t>GD ESD 25년 9월 확인 / FD 이력 없음</t>
    <phoneticPr fontId="1" type="noConversion"/>
  </si>
  <si>
    <t>이동식</t>
    <phoneticPr fontId="1" type="noConversion"/>
  </si>
  <si>
    <t>액화수소</t>
    <phoneticPr fontId="1" type="noConversion"/>
  </si>
  <si>
    <t>IP 192.168.1.1 포트 504 / 린데 업체에서 와서 협조 해줬음 현재 기술력으로 우리끼리 불가능 / 26.1.30 현장 같이 방문</t>
    <phoneticPr fontId="1" type="noConversion"/>
  </si>
  <si>
    <t>광신</t>
    <phoneticPr fontId="1" type="noConversion"/>
  </si>
  <si>
    <t>kgs_310</t>
  </si>
  <si>
    <t>kgs_307</t>
  </si>
  <si>
    <t>kgs_305</t>
  </si>
  <si>
    <t>kgs_300</t>
  </si>
  <si>
    <t>kgs_299</t>
  </si>
  <si>
    <t>kgs_298</t>
  </si>
  <si>
    <t>kgs_297</t>
  </si>
  <si>
    <t>kgs_296</t>
  </si>
  <si>
    <t>kgs_295</t>
  </si>
  <si>
    <t>kgs_294</t>
  </si>
  <si>
    <t>kgs_293</t>
  </si>
  <si>
    <t>kgs_292</t>
  </si>
  <si>
    <t>kgs_291</t>
  </si>
  <si>
    <t>kgs_290</t>
  </si>
  <si>
    <t>kgs_289</t>
  </si>
  <si>
    <t>kgs_288</t>
  </si>
  <si>
    <t>kgs_286</t>
  </si>
  <si>
    <t>kgs_285</t>
  </si>
  <si>
    <t>kgs_283</t>
  </si>
  <si>
    <t>kgs_282</t>
  </si>
  <si>
    <t>kgs_280</t>
  </si>
  <si>
    <t>kgs_278</t>
  </si>
  <si>
    <t>kgs_277</t>
  </si>
  <si>
    <t>kgs_276</t>
  </si>
  <si>
    <t>kgs_275</t>
  </si>
  <si>
    <t>kgs_274</t>
  </si>
  <si>
    <t>kgs_273</t>
  </si>
  <si>
    <t>kgs_272</t>
  </si>
  <si>
    <t>kgs_271</t>
  </si>
  <si>
    <t>kgs_270</t>
  </si>
  <si>
    <t>kgs_269</t>
  </si>
  <si>
    <t>kgs_268</t>
  </si>
  <si>
    <t>kgs_267</t>
  </si>
  <si>
    <t>kgs_266</t>
  </si>
  <si>
    <t>kgs_265</t>
  </si>
  <si>
    <t>kgs_264</t>
  </si>
  <si>
    <t>kgs_263</t>
  </si>
  <si>
    <t>kgs_262</t>
  </si>
  <si>
    <t>kgs_261</t>
  </si>
  <si>
    <t>kgs_260</t>
  </si>
  <si>
    <t>kgs_259</t>
  </si>
  <si>
    <t>kgs_258</t>
  </si>
  <si>
    <t>kgs_257</t>
  </si>
  <si>
    <t>kgs_256</t>
  </si>
  <si>
    <t>kgs_254</t>
  </si>
  <si>
    <t>kgs_253</t>
  </si>
  <si>
    <t>kgs_252</t>
  </si>
  <si>
    <t>kgs_251</t>
  </si>
  <si>
    <t>kgs_250</t>
  </si>
  <si>
    <t>kgs_249</t>
  </si>
  <si>
    <t>kgs_248</t>
  </si>
  <si>
    <t>kgs_247</t>
  </si>
  <si>
    <t>kgs_246</t>
  </si>
  <si>
    <t>kgs_245</t>
  </si>
  <si>
    <t>kgs_243</t>
  </si>
  <si>
    <t>kgs_242</t>
  </si>
  <si>
    <t>kgs_241</t>
  </si>
  <si>
    <t>kgs_240</t>
  </si>
  <si>
    <t>kgs_239</t>
  </si>
  <si>
    <t>kgs_238</t>
  </si>
  <si>
    <t>kgs_237</t>
  </si>
  <si>
    <t>kgs_236</t>
  </si>
  <si>
    <t>kgs_235</t>
  </si>
  <si>
    <t>kgs_232</t>
  </si>
  <si>
    <t>kgs_231</t>
  </si>
  <si>
    <t>kgs_229</t>
  </si>
  <si>
    <t>kgs_228</t>
  </si>
  <si>
    <t>kgs_227</t>
  </si>
  <si>
    <t>kgs_226</t>
  </si>
  <si>
    <t>kgs_225</t>
  </si>
  <si>
    <t>kgs_224</t>
  </si>
  <si>
    <t>kgs_223</t>
  </si>
  <si>
    <t>KS4812005</t>
  </si>
  <si>
    <t>kgs_222</t>
  </si>
  <si>
    <t>KT4812001</t>
  </si>
  <si>
    <t>FM4812001</t>
  </si>
  <si>
    <t>kgs_220</t>
  </si>
  <si>
    <t>JK2620001</t>
  </si>
  <si>
    <t>kgs_219</t>
  </si>
  <si>
    <t>BH2635001</t>
  </si>
  <si>
    <t>kgs_218</t>
  </si>
  <si>
    <t>kgs_217</t>
  </si>
  <si>
    <t>kgs_216</t>
  </si>
  <si>
    <t>kgs_215</t>
  </si>
  <si>
    <t>kgs_214</t>
  </si>
  <si>
    <t>kgs_213</t>
  </si>
  <si>
    <t>kgs_206</t>
  </si>
  <si>
    <t>kgs_205</t>
  </si>
  <si>
    <t>kgs_204</t>
  </si>
  <si>
    <t>kgs_200</t>
  </si>
  <si>
    <t>kgs_199</t>
  </si>
  <si>
    <t>VM4785001</t>
  </si>
  <si>
    <t>kgs_192</t>
  </si>
  <si>
    <t>AR4129001</t>
  </si>
  <si>
    <t>HY4122001</t>
  </si>
  <si>
    <t>kgs_190</t>
  </si>
  <si>
    <t>VM4131001</t>
  </si>
  <si>
    <t>kgs_189</t>
  </si>
  <si>
    <t>VM4418001</t>
  </si>
  <si>
    <t>kgs_188</t>
  </si>
  <si>
    <t>JK4686001</t>
  </si>
  <si>
    <t>kgs_187</t>
  </si>
  <si>
    <t>JK2826001</t>
  </si>
  <si>
    <t>kgs_186</t>
  </si>
  <si>
    <t>HS4217001</t>
  </si>
  <si>
    <t>kgs_185</t>
  </si>
  <si>
    <t>HS4573001</t>
  </si>
  <si>
    <t>HS4575001</t>
  </si>
  <si>
    <t>kgs_183</t>
  </si>
  <si>
    <t>BH2671001</t>
  </si>
  <si>
    <t>kgs_182</t>
  </si>
  <si>
    <t>kgs_181</t>
  </si>
  <si>
    <t>JK3014001</t>
  </si>
  <si>
    <t>kgs_180</t>
  </si>
  <si>
    <t>HS2917001</t>
  </si>
  <si>
    <t>BH4812001</t>
  </si>
  <si>
    <t>kgs_177</t>
  </si>
  <si>
    <t>JK1150002</t>
  </si>
  <si>
    <t>kgs_176</t>
  </si>
  <si>
    <t>kgs_172</t>
  </si>
  <si>
    <t>JK3020001</t>
  </si>
  <si>
    <t>kgs_169</t>
  </si>
  <si>
    <t>kgs_167</t>
  </si>
  <si>
    <t>kgs_166</t>
  </si>
  <si>
    <t>kgs_164</t>
  </si>
  <si>
    <t>LD4159001</t>
  </si>
  <si>
    <t>kgs_163</t>
  </si>
  <si>
    <t>kgs_161</t>
  </si>
  <si>
    <t>kgs_160</t>
  </si>
  <si>
    <t>NK2723001</t>
  </si>
  <si>
    <t>kgs_159</t>
  </si>
  <si>
    <t>kgs_158</t>
  </si>
  <si>
    <t>HS4313002</t>
  </si>
  <si>
    <t>kgs_157</t>
  </si>
  <si>
    <t>BH4719001</t>
  </si>
  <si>
    <t>kgs_152</t>
  </si>
  <si>
    <t>JK4128001</t>
  </si>
  <si>
    <t>kgs_151</t>
  </si>
  <si>
    <t>VM2826001</t>
  </si>
  <si>
    <t>kgs_150</t>
  </si>
  <si>
    <t>VM2811001</t>
  </si>
  <si>
    <t>kgs_149</t>
  </si>
  <si>
    <t>kgs_147</t>
  </si>
  <si>
    <t>kgs_141</t>
  </si>
  <si>
    <t>kgs_134</t>
  </si>
  <si>
    <t>kgs_133</t>
  </si>
  <si>
    <t>BH4725001</t>
  </si>
  <si>
    <t>KS4833001</t>
  </si>
  <si>
    <t>NL3611001</t>
  </si>
  <si>
    <t>kgs_108</t>
  </si>
  <si>
    <t>kgs_107</t>
  </si>
  <si>
    <t>VM2917001</t>
  </si>
  <si>
    <t>kgs_106</t>
  </si>
  <si>
    <t>JK2811001</t>
  </si>
  <si>
    <t>KS2771001</t>
  </si>
  <si>
    <t>BH4831001</t>
  </si>
  <si>
    <t>kgs_100</t>
  </si>
  <si>
    <t>kgs_097</t>
  </si>
  <si>
    <t>NL4420001</t>
  </si>
  <si>
    <t>kgs_096</t>
  </si>
  <si>
    <t>AR3114001</t>
  </si>
  <si>
    <t>NL4213001</t>
  </si>
  <si>
    <t>kgs_093</t>
  </si>
  <si>
    <t>AR4159002</t>
  </si>
  <si>
    <t>kgs_092</t>
  </si>
  <si>
    <t>JK4146001</t>
  </si>
  <si>
    <t>kgs_090</t>
  </si>
  <si>
    <t>NL4122003</t>
  </si>
  <si>
    <t>kgs_088</t>
  </si>
  <si>
    <t>JK4311001</t>
  </si>
  <si>
    <t>kgs_086</t>
  </si>
  <si>
    <t>VM4514001</t>
  </si>
  <si>
    <t>kgs_085</t>
  </si>
  <si>
    <t>LD4413002</t>
  </si>
  <si>
    <t>kgs_084</t>
  </si>
  <si>
    <t>LD4413001</t>
  </si>
  <si>
    <t>kgs_083</t>
  </si>
  <si>
    <t>kgs_082</t>
  </si>
  <si>
    <t>VM4511001</t>
  </si>
  <si>
    <t>kgs_081</t>
  </si>
  <si>
    <t>kgs_080</t>
  </si>
  <si>
    <t>HS4159002</t>
  </si>
  <si>
    <t>kgs_079</t>
  </si>
  <si>
    <t>HS4211001</t>
  </si>
  <si>
    <t>kgs_078</t>
  </si>
  <si>
    <t>HS4159003</t>
  </si>
  <si>
    <t>kgs_077</t>
  </si>
  <si>
    <t>HS4377001</t>
  </si>
  <si>
    <t>kgs_076</t>
  </si>
  <si>
    <t>HS4784001</t>
  </si>
  <si>
    <t>kgs_069</t>
  </si>
  <si>
    <t>kgs_068</t>
  </si>
  <si>
    <t>EM3171001</t>
  </si>
  <si>
    <t>kgs_067</t>
  </si>
  <si>
    <t>EM4613001</t>
  </si>
  <si>
    <t>EM4571001</t>
  </si>
  <si>
    <t>kgs_065</t>
  </si>
  <si>
    <t>EM4812003</t>
  </si>
  <si>
    <t>kgs_064</t>
  </si>
  <si>
    <t>EM4812002</t>
  </si>
  <si>
    <t>kgs_063</t>
  </si>
  <si>
    <t>EM2920002</t>
  </si>
  <si>
    <t>EM4812001</t>
  </si>
  <si>
    <t>kgs_058</t>
  </si>
  <si>
    <t>AR2915001</t>
  </si>
  <si>
    <t>kgs_056</t>
  </si>
  <si>
    <t>AR4159001</t>
  </si>
  <si>
    <t>kgs_054</t>
  </si>
  <si>
    <t>AR4146001</t>
  </si>
  <si>
    <t>kgs_053</t>
  </si>
  <si>
    <t>BH2729001</t>
  </si>
  <si>
    <t>kgs_052</t>
  </si>
  <si>
    <t>VM4111001</t>
  </si>
  <si>
    <t>kgs_051</t>
  </si>
  <si>
    <t>kgs_049</t>
  </si>
  <si>
    <t>NL4377001</t>
  </si>
  <si>
    <t>kgs_048</t>
  </si>
  <si>
    <t>NL3011001</t>
  </si>
  <si>
    <t>kgs_047</t>
  </si>
  <si>
    <t>NL4122002</t>
  </si>
  <si>
    <t>kgs_046</t>
  </si>
  <si>
    <t>kgs_045</t>
  </si>
  <si>
    <t>NL4313001</t>
  </si>
  <si>
    <t>kgs_043</t>
  </si>
  <si>
    <t>NL4311002</t>
  </si>
  <si>
    <t>kgs_042</t>
  </si>
  <si>
    <t>NL4311001</t>
  </si>
  <si>
    <t>kgs_039</t>
  </si>
  <si>
    <t>KS4817001</t>
  </si>
  <si>
    <t>kgs_038</t>
  </si>
  <si>
    <t>KS4155002</t>
  </si>
  <si>
    <t>KS3120001</t>
  </si>
  <si>
    <t>kgs_036</t>
  </si>
  <si>
    <t>KS3114002</t>
  </si>
  <si>
    <t>KS4421001</t>
  </si>
  <si>
    <t>kgs_034</t>
  </si>
  <si>
    <t>KS4420001</t>
  </si>
  <si>
    <t>kgs_032</t>
  </si>
  <si>
    <t>KS4145001</t>
  </si>
  <si>
    <t>kgs_031</t>
  </si>
  <si>
    <t>kgs_028</t>
  </si>
  <si>
    <t>KS4167001</t>
  </si>
  <si>
    <t>kgs_027</t>
  </si>
  <si>
    <t>KS4155001</t>
  </si>
  <si>
    <t>kgs_025</t>
  </si>
  <si>
    <t>KS4480001</t>
  </si>
  <si>
    <t>kgs_022</t>
  </si>
  <si>
    <t>JK4315001</t>
  </si>
  <si>
    <t>kgs_020</t>
  </si>
  <si>
    <t>JK1144001</t>
  </si>
  <si>
    <t>kgs_019</t>
  </si>
  <si>
    <t>AR4211001</t>
  </si>
  <si>
    <t>kgs_018</t>
  </si>
  <si>
    <t>kgs_017</t>
  </si>
  <si>
    <t>HS3171002</t>
  </si>
  <si>
    <t>kgs_016</t>
  </si>
  <si>
    <t>HS3171001</t>
  </si>
  <si>
    <t>HS3120001</t>
  </si>
  <si>
    <t>kgs_014</t>
  </si>
  <si>
    <t>HS3114001</t>
  </si>
  <si>
    <t>kgs_013</t>
  </si>
  <si>
    <t>HS4688001</t>
  </si>
  <si>
    <t>kgs_012</t>
  </si>
  <si>
    <t>HS2920001</t>
  </si>
  <si>
    <t>kgs_011</t>
  </si>
  <si>
    <t>HS1156001</t>
  </si>
  <si>
    <t>HS3020001</t>
  </si>
  <si>
    <t>kgs_007</t>
  </si>
  <si>
    <t>HS4313001</t>
  </si>
  <si>
    <t>kgs_006</t>
  </si>
  <si>
    <t>HS4155001</t>
  </si>
  <si>
    <t>kgs_002</t>
  </si>
  <si>
    <t>HS1174001</t>
  </si>
  <si>
    <t>계룡 정장 수소충전소</t>
    <phoneticPr fontId="1" type="noConversion"/>
  </si>
  <si>
    <t>충남 계룡</t>
    <phoneticPr fontId="1" type="noConversion"/>
  </si>
  <si>
    <t>충청남도 계룡시 신도안면 정장리 6-3, 221-8번지</t>
    <phoneticPr fontId="1" type="noConversion"/>
  </si>
  <si>
    <t>02579185</t>
    <phoneticPr fontId="1" type="noConversion"/>
  </si>
  <si>
    <t>속초종합경기장 수소충전소</t>
    <phoneticPr fontId="1" type="noConversion"/>
  </si>
  <si>
    <t>속초 노학</t>
    <phoneticPr fontId="1" type="noConversion"/>
  </si>
  <si>
    <t>강원특별자치도 속초시 노학동 1000-332,341</t>
  </si>
  <si>
    <t>02684936</t>
    <phoneticPr fontId="1" type="noConversion"/>
  </si>
  <si>
    <t>2025-10-15
2026-03-16</t>
    <phoneticPr fontId="1" type="noConversion"/>
  </si>
  <si>
    <t>현대자동차 현대하이테크센터 수소충전소</t>
    <phoneticPr fontId="1" type="noConversion"/>
  </si>
  <si>
    <t>용인 기흥</t>
    <phoneticPr fontId="1" type="noConversion"/>
  </si>
  <si>
    <t>경기도 용인시 기흥구 영덕동 535</t>
    <phoneticPr fontId="1" type="noConversion"/>
  </si>
  <si>
    <t>02660914</t>
    <phoneticPr fontId="1" type="noConversion"/>
  </si>
  <si>
    <t>2025-02-06
2026-02-27</t>
    <phoneticPr fontId="1" type="noConversion"/>
  </si>
  <si>
    <t>MS ENG</t>
    <phoneticPr fontId="1" type="noConversion"/>
  </si>
  <si>
    <t>현장 재방문 하여 매핑 수정 필요</t>
    <phoneticPr fontId="1" type="noConversion"/>
  </si>
  <si>
    <t xml:space="preserve"> 하이리움 담당자 010 7405 9088  </t>
    <phoneticPr fontId="1" type="noConversion"/>
  </si>
  <si>
    <t>블루맥스 키면 프린터가 작동안함 / 그래서 현장 블루맥스 꺼놓음 (박재현 과장)</t>
    <phoneticPr fontId="1" type="noConversion"/>
  </si>
  <si>
    <t>192.168.85.1 ~ 2 핑 안됨 네트워크 더보기 에서 보이는 192.168.1.200 핑 붙음</t>
    <phoneticPr fontId="1" type="noConversion"/>
  </si>
  <si>
    <t>FD 테스트 필요 테스터기기 고장으로 못함 나머진 정상</t>
    <phoneticPr fontId="1" type="noConversion"/>
  </si>
  <si>
    <t>192.168.85.1 핑 연결 됨 / 네트워키 더보기 192.168.85.233 입력 되어있고 후단 랜카드있는거 같음 / 테스트 필요</t>
    <phoneticPr fontId="1" type="noConversion"/>
  </si>
  <si>
    <t>효성중공업(주)</t>
    <phoneticPr fontId="1" type="noConversion"/>
  </si>
  <si>
    <t>GD ESD 확인</t>
    <phoneticPr fontId="1" type="noConversion"/>
  </si>
  <si>
    <t>튜브트레일러, 개질
(T/T충전 + 자동차충전)</t>
    <phoneticPr fontId="1" type="noConversion"/>
  </si>
  <si>
    <t>충청북도 청주시 흥덕구 신대동 685 일원</t>
    <phoneticPr fontId="1" type="noConversion"/>
  </si>
  <si>
    <t>02622495</t>
    <phoneticPr fontId="1" type="noConversion"/>
  </si>
  <si>
    <t>하이넷 사천유천 수소충전소</t>
    <phoneticPr fontId="1" type="noConversion"/>
  </si>
  <si>
    <t>경남 사천</t>
    <phoneticPr fontId="1" type="noConversion"/>
  </si>
  <si>
    <t>경상남도 사천시 사남면 유천리 903</t>
    <phoneticPr fontId="1" type="noConversion"/>
  </si>
  <si>
    <t>02705693</t>
    <phoneticPr fontId="1" type="noConversion"/>
  </si>
  <si>
    <t>설치</t>
    <phoneticPr fontId="1" type="noConversion"/>
  </si>
  <si>
    <t>kgs_313</t>
    <phoneticPr fontId="1" type="noConversion"/>
  </si>
  <si>
    <t>현장 PC없음</t>
    <phoneticPr fontId="1" type="noConversion"/>
  </si>
  <si>
    <t>현장방문하여 신호순서 바꾸어 주어야 함</t>
    <phoneticPr fontId="1" type="noConversion"/>
  </si>
  <si>
    <t>port 504</t>
    <phoneticPr fontId="1" type="noConversion"/>
  </si>
  <si>
    <t>PLC 와 연결 IP 192.168.0.100</t>
    <phoneticPr fontId="1" type="noConversion"/>
  </si>
  <si>
    <t>네트워크 연결보기2 1개 자동, 1개 수동 192.168.83.20 (192.168.85.1 안됨)</t>
    <phoneticPr fontId="1" type="noConversion"/>
  </si>
  <si>
    <t>스카다 PC 인터넷 됨 네트워크 192.168.83.50 포스 PC 자동 / 둘다 192.168.85.1 안됨</t>
    <phoneticPr fontId="1" type="noConversion"/>
  </si>
  <si>
    <t xml:space="preserve">192.168.0.3/502 / 현장 테스트 해볼 필요 있음 </t>
    <phoneticPr fontId="1" type="noConversion"/>
  </si>
  <si>
    <r>
      <t xml:space="preserve">경기도 평택시 장안동 </t>
    </r>
    <r>
      <rPr>
        <sz val="10"/>
        <color rgb="FFFF0000"/>
        <rFont val="굴림"/>
        <family val="3"/>
        <charset val="129"/>
      </rPr>
      <t>241-1,240-10, 241-10</t>
    </r>
    <phoneticPr fontId="1" type="noConversion"/>
  </si>
  <si>
    <t>127.0.0.1</t>
    <phoneticPr fontId="1" type="noConversion"/>
  </si>
  <si>
    <t>경남 창원시 진해구 덕산동 533-4외 1필지(570-5)</t>
    <phoneticPr fontId="1" type="noConversion"/>
  </si>
  <si>
    <t>02694173</t>
    <phoneticPr fontId="1" type="noConversion"/>
  </si>
  <si>
    <t>하나유니트</t>
    <phoneticPr fontId="1" type="noConversion"/>
  </si>
  <si>
    <r>
      <t xml:space="preserve">울산광역시 남구 매암동 </t>
    </r>
    <r>
      <rPr>
        <sz val="10"/>
        <color rgb="FFFF0000"/>
        <rFont val="굴림"/>
        <family val="3"/>
        <charset val="129"/>
      </rPr>
      <t>579-21</t>
    </r>
  </si>
  <si>
    <r>
      <t xml:space="preserve">경남 창원시 성산구 성주동 </t>
    </r>
    <r>
      <rPr>
        <sz val="10"/>
        <color rgb="FFFF0000"/>
        <rFont val="굴림체"/>
        <family val="3"/>
        <charset val="129"/>
      </rPr>
      <t>175, 177-9</t>
    </r>
    <r>
      <rPr>
        <sz val="10"/>
        <color rgb="FFFF0000"/>
        <rFont val="맑은 고딕"/>
        <family val="3"/>
        <charset val="129"/>
        <scheme val="minor"/>
      </rPr>
      <t>번지</t>
    </r>
  </si>
  <si>
    <t>지게차 충전 규제특례시설
휴지('24.5.21.'27.5.19.)</t>
    <phoneticPr fontId="1" type="noConversion"/>
  </si>
  <si>
    <r>
      <t xml:space="preserve">강원 평창군 대관령면 횡계리 </t>
    </r>
    <r>
      <rPr>
        <sz val="10"/>
        <color theme="1"/>
        <rFont val="굴림"/>
        <family val="3"/>
        <charset val="129"/>
      </rPr>
      <t>14-297</t>
    </r>
    <r>
      <rPr>
        <sz val="10"/>
        <color theme="1"/>
        <rFont val="맑은 고딕"/>
        <family val="3"/>
        <charset val="129"/>
        <scheme val="minor"/>
      </rPr>
      <t>번지</t>
    </r>
    <phoneticPr fontId="1" type="noConversion"/>
  </si>
  <si>
    <r>
      <t xml:space="preserve">경남 양산시 물금읍 증산리 </t>
    </r>
    <r>
      <rPr>
        <sz val="10"/>
        <rFont val="굴림"/>
        <family val="3"/>
        <charset val="129"/>
      </rPr>
      <t>95-3</t>
    </r>
    <r>
      <rPr>
        <sz val="10"/>
        <rFont val="맑은 고딕"/>
        <family val="3"/>
        <charset val="129"/>
        <scheme val="minor"/>
      </rPr>
      <t>외 6필지</t>
    </r>
    <phoneticPr fontId="1" type="noConversion"/>
  </si>
  <si>
    <t>현대자동차 차량용 액화수소 충전시설</t>
    <phoneticPr fontId="1" type="noConversion"/>
  </si>
  <si>
    <t>화성 남양</t>
    <phoneticPr fontId="1" type="noConversion"/>
  </si>
  <si>
    <t>경기도 화성시 남양읍 활초리 620-1</t>
    <phoneticPr fontId="1" type="noConversion"/>
  </si>
  <si>
    <t>02686407</t>
    <phoneticPr fontId="1" type="noConversion"/>
  </si>
  <si>
    <t xml:space="preserve">* 액화수소 직공급 충전시설(충전 안전성능 확인평가 비대상) </t>
    <phoneticPr fontId="1" type="noConversion"/>
  </si>
  <si>
    <t>용인 오산 액화수소충전소</t>
    <phoneticPr fontId="1" type="noConversion"/>
  </si>
  <si>
    <t>용인 오산</t>
    <phoneticPr fontId="1" type="noConversion"/>
  </si>
  <si>
    <t>경기도 용인시 처인구 모현읍 오산리 263-1, 623</t>
    <phoneticPr fontId="1" type="noConversion"/>
  </si>
  <si>
    <t>02703207</t>
    <phoneticPr fontId="1" type="noConversion"/>
  </si>
  <si>
    <t>화성 안녕 액화수소충전소</t>
    <phoneticPr fontId="1" type="noConversion"/>
  </si>
  <si>
    <t>화성 병점</t>
    <phoneticPr fontId="1" type="noConversion"/>
  </si>
  <si>
    <t>경기도 화성시 병점구 안녕동 157-1, 158-70, 158-75, 158-78</t>
    <phoneticPr fontId="1" type="noConversion"/>
  </si>
  <si>
    <t>02710087</t>
    <phoneticPr fontId="1" type="noConversion"/>
  </si>
  <si>
    <t>구미 선기 수소충전소(융복합)</t>
    <phoneticPr fontId="1" type="noConversion"/>
  </si>
  <si>
    <t>경북 구미시 선기동 435-3, 435-7, 436</t>
    <phoneticPr fontId="1" type="noConversion"/>
  </si>
  <si>
    <t>02719235</t>
    <phoneticPr fontId="1" type="noConversion"/>
  </si>
  <si>
    <t>DM Tatsuno</t>
    <phoneticPr fontId="1" type="noConversion"/>
  </si>
  <si>
    <t>인천 원창</t>
    <phoneticPr fontId="1" type="noConversion"/>
  </si>
  <si>
    <t>저장식
(T/T+배관공급)</t>
    <phoneticPr fontId="1" type="noConversion"/>
  </si>
  <si>
    <t>신백승여행사</t>
    <phoneticPr fontId="1" type="noConversion"/>
  </si>
  <si>
    <t>인천광역시 서구 원창동 150-1외 16필지</t>
    <phoneticPr fontId="1" type="noConversion"/>
  </si>
  <si>
    <t>02712755</t>
    <phoneticPr fontId="1" type="noConversion"/>
  </si>
  <si>
    <t>2026-03-10
2026-07-07</t>
    <phoneticPr fontId="1" type="noConversion"/>
  </si>
  <si>
    <t>코하이젠 군산 외항 수소충전소</t>
    <phoneticPr fontId="1" type="noConversion"/>
  </si>
  <si>
    <t>군산 외항</t>
    <phoneticPr fontId="1" type="noConversion"/>
  </si>
  <si>
    <t>전북 군산시 산북동 1996</t>
    <phoneticPr fontId="1" type="noConversion"/>
  </si>
  <si>
    <t>02686840</t>
    <phoneticPr fontId="1" type="noConversion"/>
  </si>
  <si>
    <t>2025-11-06
2026-08-04</t>
    <phoneticPr fontId="1" type="noConversion"/>
  </si>
  <si>
    <t>기존 굿 (26.2.10)이었으나 현장 GD 교체후 GD 안옴, 현장 확인 필요</t>
    <phoneticPr fontId="1" type="noConversion"/>
  </si>
  <si>
    <t>기존 굿 (26.2.23)이었으나 현장 GD 교체후 GD 신호 안옴</t>
    <phoneticPr fontId="1" type="noConversion"/>
  </si>
  <si>
    <t>SRP</t>
  </si>
  <si>
    <t>BLUE</t>
  </si>
  <si>
    <t>IP</t>
  </si>
  <si>
    <t>PORT</t>
  </si>
  <si>
    <t>192.168.85.5</t>
  </si>
  <si>
    <t>503</t>
  </si>
  <si>
    <t>192.168.0.100</t>
  </si>
  <si>
    <t>502</t>
  </si>
  <si>
    <t>JK1165001</t>
  </si>
  <si>
    <t>kgs_201</t>
  </si>
  <si>
    <t>127.0.0.1</t>
  </si>
  <si>
    <t>192.168.0.6</t>
  </si>
  <si>
    <t>10.10.8.134</t>
  </si>
  <si>
    <t>504</t>
  </si>
  <si>
    <t>192.168.0.50</t>
  </si>
  <si>
    <t>10.10.10.36</t>
  </si>
  <si>
    <t>NK2644001</t>
  </si>
  <si>
    <t>HS3171003</t>
  </si>
  <si>
    <t>192.168.0.2</t>
  </si>
  <si>
    <t>KS4873001</t>
  </si>
  <si>
    <t>AR2653001</t>
  </si>
  <si>
    <t>AR282001</t>
  </si>
  <si>
    <t>kgs_057</t>
  </si>
  <si>
    <t>10.10.9.100</t>
  </si>
  <si>
    <t>192.168.1.11</t>
  </si>
  <si>
    <t>192.168.85.1</t>
  </si>
  <si>
    <t>192.168.0.81</t>
  </si>
  <si>
    <t>192.168.0.61</t>
  </si>
  <si>
    <t>NL4223001</t>
  </si>
  <si>
    <t>HS3611001</t>
  </si>
  <si>
    <t>kgs_035</t>
  </si>
  <si>
    <t>AR2914002</t>
  </si>
  <si>
    <t>506</t>
  </si>
  <si>
    <t>NL4122001</t>
  </si>
  <si>
    <t>192.168.1.1</t>
  </si>
  <si>
    <t>VM3023001</t>
  </si>
  <si>
    <t>EM4812004</t>
  </si>
  <si>
    <t>kgs_070</t>
  </si>
  <si>
    <t>kgs_037</t>
  </si>
  <si>
    <t>192.168.0.8</t>
  </si>
  <si>
    <t>KS4127001</t>
  </si>
  <si>
    <t>kgs_040</t>
  </si>
  <si>
    <t>KS4376001</t>
  </si>
  <si>
    <t>kgs_041</t>
  </si>
  <si>
    <t>EM4825001</t>
  </si>
  <si>
    <t>kgs_102</t>
  </si>
  <si>
    <t>KS4159001</t>
  </si>
  <si>
    <t>10.10.85.2</t>
  </si>
  <si>
    <t>192.168.0.28</t>
  </si>
  <si>
    <t>AR2811001</t>
  </si>
  <si>
    <t>NL4221001</t>
  </si>
  <si>
    <t>kgs_098</t>
  </si>
  <si>
    <t>NK4413001</t>
  </si>
  <si>
    <t>NK3023001</t>
  </si>
  <si>
    <t>kgs_168</t>
  </si>
  <si>
    <t>kgs_131</t>
  </si>
  <si>
    <t>kgs_104</t>
  </si>
  <si>
    <t>KS4113001</t>
  </si>
  <si>
    <t>kgs_170</t>
  </si>
  <si>
    <t>192.168.1.254</t>
  </si>
  <si>
    <t>KS4812003</t>
  </si>
  <si>
    <t>kgs_130</t>
  </si>
  <si>
    <t>JK1150001</t>
  </si>
  <si>
    <t>BH4822001</t>
  </si>
  <si>
    <t>KS4580001</t>
  </si>
  <si>
    <t>192.168.0.102</t>
  </si>
  <si>
    <t>LD3020002</t>
  </si>
  <si>
    <t>kgs_165</t>
  </si>
  <si>
    <t>VM4513001</t>
  </si>
  <si>
    <t>LD4377002</t>
  </si>
  <si>
    <t>NL4377002</t>
  </si>
  <si>
    <t>JK4121001, JK4121002</t>
  </si>
  <si>
    <t>10.59.32.168</t>
  </si>
  <si>
    <t>HS4276001</t>
  </si>
  <si>
    <t>kgs_156</t>
  </si>
  <si>
    <t>NL4281001</t>
  </si>
  <si>
    <t>kgs_153</t>
  </si>
  <si>
    <t>HS3120002</t>
  </si>
  <si>
    <t>JK4157001</t>
  </si>
  <si>
    <t>kgs_174</t>
  </si>
  <si>
    <t>KS4128001</t>
  </si>
  <si>
    <t>JK4127001</t>
  </si>
  <si>
    <t>KS4511001</t>
  </si>
  <si>
    <t>kgs_173</t>
  </si>
  <si>
    <t>KS1150001</t>
  </si>
  <si>
    <t>kgs_211</t>
  </si>
  <si>
    <t>192.168.1.10</t>
  </si>
  <si>
    <t>kgs_179</t>
  </si>
  <si>
    <t>192.168.10.17</t>
  </si>
  <si>
    <t>HS3011001</t>
  </si>
  <si>
    <t>kgs_175</t>
  </si>
  <si>
    <t>kgs_184</t>
  </si>
  <si>
    <t>KS2714001</t>
  </si>
  <si>
    <t>10.59.32.187</t>
  </si>
  <si>
    <t>HS4213001</t>
  </si>
  <si>
    <t>kgs_194</t>
  </si>
  <si>
    <t>KS4311001</t>
  </si>
  <si>
    <t>KS4375001</t>
  </si>
  <si>
    <t>ST3611001</t>
  </si>
  <si>
    <t>HR4427001</t>
  </si>
  <si>
    <t>JG4223001</t>
  </si>
  <si>
    <t>kgs_207</t>
  </si>
  <si>
    <t>192.168.0.115</t>
  </si>
  <si>
    <t>HR4812002</t>
  </si>
  <si>
    <t>kgs_209</t>
  </si>
  <si>
    <t>BH4715001</t>
  </si>
  <si>
    <t>JK1114001</t>
  </si>
  <si>
    <t>kgs_202</t>
  </si>
  <si>
    <t>NK4122001</t>
  </si>
  <si>
    <t>192.168.1.110</t>
  </si>
  <si>
    <t>HS4313003</t>
  </si>
  <si>
    <t>HS2914001</t>
  </si>
  <si>
    <t>BH4713001</t>
  </si>
  <si>
    <t>JK4311004</t>
  </si>
  <si>
    <t>JK2826002</t>
  </si>
  <si>
    <t>JK4155001</t>
  </si>
  <si>
    <t>kgs_212</t>
  </si>
  <si>
    <t>BH4313001</t>
  </si>
  <si>
    <t>KT4511001</t>
  </si>
  <si>
    <t>kgs_314</t>
  </si>
  <si>
    <t>KY4159001</t>
  </si>
  <si>
    <t>KS4677001</t>
  </si>
  <si>
    <t>AR4143001</t>
  </si>
  <si>
    <t>BH4613001</t>
  </si>
  <si>
    <t>HR4427002</t>
  </si>
  <si>
    <t>172.30.1.40</t>
  </si>
  <si>
    <t>KS4812004</t>
  </si>
  <si>
    <t>kgs_210</t>
  </si>
  <si>
    <t>192.168.0.7</t>
  </si>
  <si>
    <t>AR3011001</t>
  </si>
  <si>
    <t>AR1114001</t>
  </si>
  <si>
    <t>AR4159003</t>
  </si>
  <si>
    <t>BH3114001</t>
  </si>
  <si>
    <t>BH4889001</t>
  </si>
  <si>
    <t>kgs_315</t>
  </si>
  <si>
    <t>192.168.0.101</t>
  </si>
  <si>
    <t>IS2811001</t>
  </si>
  <si>
    <t>JK4717001</t>
  </si>
  <si>
    <t>192.168.0.73</t>
  </si>
  <si>
    <t>KS4418001</t>
  </si>
  <si>
    <t>LD5011001</t>
  </si>
  <si>
    <t>HI2671001</t>
  </si>
  <si>
    <t>EM4146001</t>
  </si>
  <si>
    <t>192.168.1.12</t>
  </si>
  <si>
    <t>KS4122002</t>
  </si>
  <si>
    <t>192.168.10.101</t>
  </si>
  <si>
    <t>HS4377002</t>
  </si>
  <si>
    <t>KS4580002</t>
  </si>
  <si>
    <t>HI4146001</t>
  </si>
  <si>
    <t>EM4613002</t>
  </si>
  <si>
    <t>kgs_324</t>
  </si>
  <si>
    <t>192.168.127.101</t>
  </si>
  <si>
    <t>BH1132001</t>
  </si>
  <si>
    <t>KS4680001</t>
  </si>
  <si>
    <t>JK4311003</t>
  </si>
  <si>
    <t>HR4513001</t>
  </si>
  <si>
    <t>BK4833001</t>
  </si>
  <si>
    <t>kgs_325</t>
  </si>
  <si>
    <t>IS4511001</t>
  </si>
  <si>
    <t>BH2644001</t>
  </si>
  <si>
    <t>192.168.10.20</t>
  </si>
  <si>
    <t>KT4163001</t>
  </si>
  <si>
    <t>kgs_318</t>
  </si>
  <si>
    <t>HS4374001</t>
  </si>
  <si>
    <t>kgs_308</t>
  </si>
  <si>
    <t>NK4825001</t>
  </si>
  <si>
    <t>JK2920001</t>
  </si>
  <si>
    <t>KS2818001</t>
  </si>
  <si>
    <t>KT4711001</t>
  </si>
  <si>
    <t>kgs_320</t>
  </si>
  <si>
    <t>IS3171001</t>
  </si>
  <si>
    <t>JK4719002</t>
  </si>
  <si>
    <t>HR3611001</t>
  </si>
  <si>
    <t>IS4611001</t>
  </si>
  <si>
    <t>KO282001</t>
  </si>
  <si>
    <t>BH4687001</t>
  </si>
  <si>
    <t>kgs_322</t>
  </si>
  <si>
    <t>JK2826003</t>
  </si>
  <si>
    <t>HR4822001</t>
  </si>
  <si>
    <t>BH2671002</t>
  </si>
  <si>
    <t>NK4372001</t>
  </si>
  <si>
    <t>192.168.0.110</t>
  </si>
  <si>
    <t>HS4150001</t>
  </si>
  <si>
    <t>KS3611001</t>
  </si>
  <si>
    <t>KT4148001</t>
  </si>
  <si>
    <t>EM3171002</t>
  </si>
  <si>
    <t>HS4313004</t>
  </si>
  <si>
    <t>JK4719001</t>
  </si>
  <si>
    <t>VM4155001</t>
  </si>
  <si>
    <t>BH4812002</t>
  </si>
  <si>
    <t>192.168.0.13</t>
  </si>
  <si>
    <t>KT4817001</t>
  </si>
  <si>
    <t>KS4119001</t>
  </si>
  <si>
    <t>172.30.1.94</t>
  </si>
  <si>
    <t>HR5011001</t>
  </si>
  <si>
    <t>HR5011002</t>
  </si>
  <si>
    <t>JK2641001</t>
  </si>
  <si>
    <t>HS3114002</t>
  </si>
  <si>
    <t>AR4128001</t>
  </si>
  <si>
    <t>EM4427001</t>
  </si>
  <si>
    <t>KT4127001</t>
  </si>
  <si>
    <t>VM4111002</t>
  </si>
  <si>
    <t>HS4127001</t>
  </si>
  <si>
    <t>HS4827001</t>
  </si>
  <si>
    <t>JK4728001</t>
  </si>
  <si>
    <t>HS1171001</t>
  </si>
  <si>
    <t>HR3120001</t>
  </si>
  <si>
    <t>kgs_319</t>
  </si>
  <si>
    <t>JK4729001</t>
  </si>
  <si>
    <t>BH4611001</t>
  </si>
  <si>
    <t>192.168.1.20</t>
  </si>
  <si>
    <t>HS4423002</t>
  </si>
  <si>
    <t>HS4423001</t>
  </si>
  <si>
    <t>KO5214001</t>
  </si>
  <si>
    <t>kgs_312</t>
  </si>
  <si>
    <t>NK5221001</t>
  </si>
  <si>
    <t>182.168.0.250</t>
  </si>
  <si>
    <t>JK5279001</t>
  </si>
  <si>
    <t>KS3020001</t>
  </si>
  <si>
    <t>192.168.0.5</t>
  </si>
  <si>
    <t>HS4418001</t>
  </si>
  <si>
    <t>kgs_316</t>
  </si>
  <si>
    <t>192.168.0.82</t>
  </si>
  <si>
    <t>AR4425001</t>
  </si>
  <si>
    <t>kgs_323</t>
  </si>
  <si>
    <t>192.168.85.2</t>
  </si>
  <si>
    <t>192.168.124.4</t>
  </si>
  <si>
    <t>BH4824001</t>
  </si>
  <si>
    <t>192.168.0.88</t>
  </si>
  <si>
    <t>192.168.0.99</t>
  </si>
  <si>
    <t>10.0.85.2</t>
  </si>
  <si>
    <t>JK2827001</t>
  </si>
  <si>
    <t>kgs_327</t>
  </si>
  <si>
    <t>kgs_094</t>
    <phoneticPr fontId="1" type="noConversion"/>
  </si>
  <si>
    <t>192.168.0.61</t>
    <phoneticPr fontId="1" type="noConversion"/>
  </si>
  <si>
    <t>매트릭 설치</t>
    <phoneticPr fontId="1" type="noConversion"/>
  </si>
  <si>
    <t>VM4427001</t>
    <phoneticPr fontId="1" type="noConversion"/>
  </si>
  <si>
    <t>통신장애</t>
  </si>
  <si>
    <t>통신장애</t>
    <phoneticPr fontId="1" type="noConversion"/>
  </si>
  <si>
    <t>㈜유니투스 수소충전소</t>
    <phoneticPr fontId="1" type="noConversion"/>
  </si>
  <si>
    <t>블루에너지서비스 김해수소충전소</t>
    <phoneticPr fontId="1" type="noConversion"/>
  </si>
  <si>
    <t>경기 안성시 원곡면 경부고속도로 372</t>
    <phoneticPr fontId="1" type="noConversion"/>
  </si>
  <si>
    <t>없음</t>
  </si>
  <si>
    <t>H인천수소충전소(에코스테이션 논현)</t>
    <phoneticPr fontId="1" type="noConversion"/>
  </si>
  <si>
    <t>하이넷 인천공항1 수소충전소</t>
    <phoneticPr fontId="1" type="noConversion"/>
  </si>
  <si>
    <t>중도가스(주) 수소충전소</t>
    <phoneticPr fontId="1" type="noConversion"/>
  </si>
  <si>
    <t>(재)지능형자동차부품진흥원 대구주행시험장 수소충전소 (광신 Part)</t>
    <phoneticPr fontId="1" type="noConversion"/>
  </si>
  <si>
    <t>성주수소버스 충전소(교체공사)</t>
    <phoneticPr fontId="1" type="noConversion"/>
  </si>
  <si>
    <t>하이넷 경남거제 수소충전소</t>
    <phoneticPr fontId="1" type="noConversion"/>
  </si>
  <si>
    <t>양산시 증산 수소충전소</t>
    <phoneticPr fontId="1" type="noConversion"/>
  </si>
  <si>
    <t>성남수소충전소</t>
    <phoneticPr fontId="1" type="noConversion"/>
  </si>
  <si>
    <t>인천 그린 수소충전소</t>
    <phoneticPr fontId="1" type="noConversion"/>
  </si>
  <si>
    <t>E1서울 오곡 수소충전소</t>
    <phoneticPr fontId="1" type="noConversion"/>
  </si>
  <si>
    <t>대전 도시공사 낭월 수소충전소</t>
    <phoneticPr fontId="1" type="noConversion"/>
  </si>
  <si>
    <t>서소문충전소</t>
    <phoneticPr fontId="1" type="noConversion"/>
  </si>
  <si>
    <t>한국가스공사 수소자동차 충전소</t>
    <phoneticPr fontId="1" type="noConversion"/>
  </si>
  <si>
    <t>삼척 수소 버스충전소</t>
    <phoneticPr fontId="1" type="noConversion"/>
  </si>
  <si>
    <t>(재)창원 산업진흥원(창원대원수소충전소)</t>
    <phoneticPr fontId="1" type="noConversion"/>
  </si>
  <si>
    <t>하이넷 강릉 시청 수소충전소</t>
    <phoneticPr fontId="1" type="noConversion"/>
  </si>
  <si>
    <t>창원산업진흥원(마산자유무역지구)수소충전소</t>
    <phoneticPr fontId="1" type="noConversion"/>
  </si>
  <si>
    <t>안성맞춤휴게소(제천방향)수소충전소</t>
    <phoneticPr fontId="1" type="noConversion"/>
  </si>
  <si>
    <t>제주 함덕 수소충전소</t>
    <phoneticPr fontId="1" type="noConversion"/>
  </si>
  <si>
    <t>울산 상개SK 수소충전소</t>
    <phoneticPr fontId="1" type="noConversion"/>
  </si>
  <si>
    <t>볼보그룹코이라(주) 합천 수소충전소</t>
    <phoneticPr fontId="1" type="noConversion"/>
  </si>
  <si>
    <t>송도 국제도시 수소충전소</t>
    <phoneticPr fontId="1" type="noConversion"/>
  </si>
  <si>
    <t>(주)스카이비</t>
    <phoneticPr fontId="1" type="noConversion"/>
  </si>
  <si>
    <t>내트럭(주) 부산신항사업소(진해신항 화물차용 수소충전소)</t>
    <phoneticPr fontId="1" type="noConversion"/>
  </si>
  <si>
    <t>KO4784001</t>
    <phoneticPr fontId="1" type="noConversion"/>
  </si>
  <si>
    <t>하이넷 광주매월 수소충전소</t>
    <phoneticPr fontId="1" type="noConversion"/>
  </si>
  <si>
    <t>대전시 금고동 수소충전소</t>
    <phoneticPr fontId="1" type="noConversion"/>
  </si>
  <si>
    <t>동방주유소 수소충전</t>
    <phoneticPr fontId="1" type="noConversion"/>
  </si>
  <si>
    <t>고창 고인돌(서울방향) 휴게소 수소충전소</t>
    <phoneticPr fontId="1" type="noConversion"/>
  </si>
  <si>
    <t>용인휴게소(인천방향) 수소충전소</t>
    <phoneticPr fontId="1" type="noConversion"/>
  </si>
  <si>
    <t>보령시 수소교통 복합기지 수소충전소</t>
    <phoneticPr fontId="1" type="noConversion"/>
  </si>
  <si>
    <t>코하이젠익산송학수소충전소</t>
    <phoneticPr fontId="1" type="noConversion"/>
  </si>
  <si>
    <t>현대자동차 청주자원순환센터 수소충전소</t>
    <phoneticPr fontId="1" type="noConversion"/>
  </si>
  <si>
    <t>창원 덕산수소충전소</t>
    <phoneticPr fontId="1" type="noConversion"/>
  </si>
  <si>
    <t>H대도 수소충전소(에어리퀴드)</t>
    <phoneticPr fontId="1" type="noConversion"/>
  </si>
  <si>
    <t>구미선기 수소충전소(융복합)</t>
    <phoneticPr fontId="1" type="noConversion"/>
  </si>
  <si>
    <t>인천원창 수소출하센터</t>
    <phoneticPr fontId="1" type="noConversion"/>
  </si>
  <si>
    <t>(재)창원산업진흥원 팔용수소충전소 (광신 기존)</t>
    <phoneticPr fontId="1" type="noConversion"/>
  </si>
  <si>
    <t>하이넷 동탄 수소충전소</t>
    <phoneticPr fontId="1" type="noConversion"/>
  </si>
  <si>
    <t>신호 수신 확인</t>
    <phoneticPr fontId="1" type="noConversion"/>
  </si>
  <si>
    <t>통신장애 여부 (26.10.16)</t>
    <phoneticPr fontId="1" type="noConversion"/>
  </si>
  <si>
    <t>kgs_062 (이엠코리아)
kgs_287 (범한)</t>
    <phoneticPr fontId="1" type="noConversion"/>
  </si>
  <si>
    <t>(26.2.10) good</t>
    <phoneticPr fontId="1" type="noConversion"/>
  </si>
  <si>
    <t xml:space="preserve">(25.3.26) good </t>
    <phoneticPr fontId="1" type="noConversion"/>
  </si>
  <si>
    <t xml:space="preserve">(25.12.30) good </t>
    <phoneticPr fontId="1" type="noConversion"/>
  </si>
  <si>
    <t>(25.4.8) good</t>
    <phoneticPr fontId="1" type="noConversion"/>
  </si>
  <si>
    <t>kgs_105 (범한신규)
kgs_279 (광신기존)</t>
    <phoneticPr fontId="1" type="noConversion"/>
  </si>
  <si>
    <t xml:space="preserve">(25.12.18) good </t>
    <phoneticPr fontId="1" type="noConversion"/>
  </si>
  <si>
    <t xml:space="preserve">(26.5.21) good </t>
    <phoneticPr fontId="1" type="noConversion"/>
  </si>
  <si>
    <t>(25.8.6) good</t>
    <phoneticPr fontId="1" type="noConversion"/>
  </si>
  <si>
    <t xml:space="preserve">(26.6.26) good </t>
    <phoneticPr fontId="1" type="noConversion"/>
  </si>
  <si>
    <t>(25.7.21) good</t>
    <phoneticPr fontId="1" type="noConversion"/>
  </si>
  <si>
    <t>(26.3.9) good</t>
    <phoneticPr fontId="1" type="noConversion"/>
  </si>
  <si>
    <t>(25.5.22) good</t>
    <phoneticPr fontId="1" type="noConversion"/>
  </si>
  <si>
    <t>(25.5.7) good</t>
    <phoneticPr fontId="1" type="noConversion"/>
  </si>
  <si>
    <t xml:space="preserve">(26.4.27) good </t>
    <phoneticPr fontId="1" type="noConversion"/>
  </si>
  <si>
    <t>(26.9.4) good / 기계실 불꽃 2개이나 1개는 작동하지 않아서 테스트 못함</t>
    <phoneticPr fontId="1" type="noConversion"/>
  </si>
  <si>
    <t xml:space="preserve">(25.6.12) good </t>
    <phoneticPr fontId="1" type="noConversion"/>
  </si>
  <si>
    <t xml:space="preserve">(25.6.11) good </t>
    <phoneticPr fontId="1" type="noConversion"/>
  </si>
  <si>
    <t>(25.7.31) good</t>
    <phoneticPr fontId="1" type="noConversion"/>
  </si>
  <si>
    <t>(26.4.13) good</t>
    <phoneticPr fontId="1" type="noConversion"/>
  </si>
  <si>
    <t xml:space="preserve">(26.2.12) good </t>
    <phoneticPr fontId="1" type="noConversion"/>
  </si>
  <si>
    <t>(26.7.11) good</t>
    <phoneticPr fontId="1" type="noConversion"/>
  </si>
  <si>
    <t>(26.7.27) good</t>
  </si>
  <si>
    <t>(26.7.27) good</t>
    <phoneticPr fontId="1" type="noConversion"/>
  </si>
  <si>
    <t>192.168.1.11 (고객용)
192.168.1.1 (상용)</t>
    <phoneticPr fontId="1" type="noConversion"/>
  </si>
  <si>
    <t>504 (고객용, 상용 동일)</t>
    <phoneticPr fontId="1" type="noConversion"/>
  </si>
  <si>
    <t xml:space="preserve">(26.8.25) good </t>
    <phoneticPr fontId="1" type="noConversion"/>
  </si>
  <si>
    <t>(26.6.8) good / 26.5.11 정기검사시 설비동 ( FD ㅡ&gt; GD 긴급으로옴 , 디스펜서 FD 안옴? 압축기 FD 고장 / 콘솔 OK 매핑자료 연수랑 동일 현재 PC 안좋아서 작업불가 외부에서 작업 후 USB로 옮겨야함</t>
    <phoneticPr fontId="1" type="noConversion"/>
  </si>
  <si>
    <t>(25.8.31) 굿, 신호 재확인 필요</t>
    <phoneticPr fontId="1" type="noConversion"/>
  </si>
  <si>
    <t xml:space="preserve">(26.6.30) good </t>
    <phoneticPr fontId="1" type="noConversion"/>
  </si>
  <si>
    <t xml:space="preserve">(25.7.8) good </t>
    <phoneticPr fontId="1" type="noConversion"/>
  </si>
  <si>
    <t xml:space="preserve">(25.12.9) 현장확인 콘솔 x / 넬코리아 송신자료 및 cmd ip 콘솔 전혀 안붙음 </t>
    <phoneticPr fontId="1" type="noConversion"/>
  </si>
  <si>
    <t>(25.3.13) FD정상 그외안옴</t>
    <phoneticPr fontId="1" type="noConversion"/>
  </si>
  <si>
    <t xml:space="preserve">(26.4.10) good </t>
    <phoneticPr fontId="1" type="noConversion"/>
  </si>
  <si>
    <t xml:space="preserve">(25.8.12) good </t>
    <phoneticPr fontId="1" type="noConversion"/>
  </si>
  <si>
    <t xml:space="preserve">(25.5.20) good </t>
    <phoneticPr fontId="1" type="noConversion"/>
  </si>
  <si>
    <t>(25.12.1) good 확인필요</t>
    <phoneticPr fontId="1" type="noConversion"/>
  </si>
  <si>
    <t xml:space="preserve">(25.11.18) good </t>
    <phoneticPr fontId="1" type="noConversion"/>
  </si>
  <si>
    <t>(26.10.12) 문자수신 안됨. 위험신호는 증설 plc에서 받아야함(에어리퀴드) 현장 미래전자 sc로 오는 정보는 기존 plc만 오고 있음 증설 신호 받기 위해서는 미래 sc 프로그램 수정이 필요함 (미래전자)  / 가스 3.10, esd 2.0, fd 2.1 &gt;&gt; 계룡이랑 같음</t>
    <phoneticPr fontId="1" type="noConversion"/>
  </si>
  <si>
    <t xml:space="preserve">(26.5.21)  good </t>
    <phoneticPr fontId="1" type="noConversion"/>
  </si>
  <si>
    <t xml:space="preserve">(25.3.24) good </t>
    <phoneticPr fontId="1" type="noConversion"/>
  </si>
  <si>
    <t xml:space="preserve">(26.1.30) good </t>
    <phoneticPr fontId="1" type="noConversion"/>
  </si>
  <si>
    <t>린데 업체에서 와서 협조 해줬음 현재 기술력으로 우리끼리 불가능 / 26.1.30 현장 같이 방문</t>
    <phoneticPr fontId="1" type="noConversion"/>
  </si>
  <si>
    <t xml:space="preserve">(25.3.25) good </t>
    <phoneticPr fontId="1" type="noConversion"/>
  </si>
  <si>
    <t xml:space="preserve">(26.2.25) good </t>
    <phoneticPr fontId="1" type="noConversion"/>
  </si>
  <si>
    <t xml:space="preserve">(25.5.14) good </t>
    <phoneticPr fontId="1" type="noConversion"/>
  </si>
  <si>
    <t xml:space="preserve">(25.10.30) good </t>
    <phoneticPr fontId="1" type="noConversion"/>
  </si>
  <si>
    <t xml:space="preserve">(25.5.23) good </t>
    <phoneticPr fontId="1" type="noConversion"/>
  </si>
  <si>
    <t xml:space="preserve">(25.10.24) good </t>
    <phoneticPr fontId="1" type="noConversion"/>
  </si>
  <si>
    <t xml:space="preserve">(24.5.9) 굿 2년 지나서 확인필요 </t>
    <phoneticPr fontId="1" type="noConversion"/>
  </si>
  <si>
    <t>192.168.1.1</t>
    <phoneticPr fontId="1" type="noConversion"/>
  </si>
  <si>
    <t xml:space="preserve">(25.7.23) good </t>
    <phoneticPr fontId="1" type="noConversion"/>
  </si>
  <si>
    <t xml:space="preserve">(25.7.11) good </t>
    <phoneticPr fontId="1" type="noConversion"/>
  </si>
  <si>
    <t>(26.8.21) good</t>
    <phoneticPr fontId="1" type="noConversion"/>
  </si>
  <si>
    <t xml:space="preserve">(25.9.26) good </t>
    <phoneticPr fontId="1" type="noConversion"/>
  </si>
  <si>
    <t xml:space="preserve">(25.11.28) good </t>
    <phoneticPr fontId="1" type="noConversion"/>
  </si>
  <si>
    <t>(26.8.20) 화염ok, 가스ok, 긴급(설비동 문쪽 추가 필요)</t>
    <phoneticPr fontId="1" type="noConversion"/>
  </si>
  <si>
    <t xml:space="preserve">(25.9.1) good </t>
    <phoneticPr fontId="1" type="noConversion"/>
  </si>
  <si>
    <t xml:space="preserve">(26.6.10) good </t>
    <phoneticPr fontId="1" type="noConversion"/>
  </si>
  <si>
    <t xml:space="preserve">(25.11.25) good </t>
    <phoneticPr fontId="1" type="noConversion"/>
  </si>
  <si>
    <t xml:space="preserve">(25.4.9) good </t>
    <phoneticPr fontId="1" type="noConversion"/>
  </si>
  <si>
    <t>(26.4.27) good</t>
    <phoneticPr fontId="1" type="noConversion"/>
  </si>
  <si>
    <t xml:space="preserve">(25.8.19) 현장방문 / 맵핑 슬레이브 작업 필요 </t>
    <phoneticPr fontId="1" type="noConversion"/>
  </si>
  <si>
    <t>(25.9.24) good</t>
    <phoneticPr fontId="1" type="noConversion"/>
  </si>
  <si>
    <t xml:space="preserve">(26.8.27) good </t>
    <phoneticPr fontId="1" type="noConversion"/>
  </si>
  <si>
    <t xml:space="preserve">(25.5.24) good </t>
    <phoneticPr fontId="1" type="noConversion"/>
  </si>
  <si>
    <t>(26.9.9) good / B라인 증설분 신호 안와서 광신에게 수정요청후 유선으로 테스트 완료</t>
    <phoneticPr fontId="1" type="noConversion"/>
  </si>
  <si>
    <t xml:space="preserve">(25.6.19) good </t>
    <phoneticPr fontId="1" type="noConversion"/>
  </si>
  <si>
    <t xml:space="preserve">(25.11.6) good </t>
    <phoneticPr fontId="1" type="noConversion"/>
  </si>
  <si>
    <t xml:space="preserve">(25.11.19) good </t>
    <phoneticPr fontId="1" type="noConversion"/>
  </si>
  <si>
    <t xml:space="preserve">(25.12.17) good </t>
    <phoneticPr fontId="1" type="noConversion"/>
  </si>
  <si>
    <t xml:space="preserve">(25.6.5) good </t>
    <phoneticPr fontId="1" type="noConversion"/>
  </si>
  <si>
    <t>(25.9.25) good</t>
    <phoneticPr fontId="1" type="noConversion"/>
  </si>
  <si>
    <t xml:space="preserve">(26.2.20) good </t>
    <phoneticPr fontId="1" type="noConversion"/>
  </si>
  <si>
    <t xml:space="preserve">(25.12.12) good </t>
    <phoneticPr fontId="1" type="noConversion"/>
  </si>
  <si>
    <t xml:space="preserve">(26.5.27) good </t>
    <phoneticPr fontId="1" type="noConversion"/>
  </si>
  <si>
    <t xml:space="preserve">(25.4.24) good </t>
    <phoneticPr fontId="1" type="noConversion"/>
  </si>
  <si>
    <t xml:space="preserve">(26.1.28) good </t>
    <phoneticPr fontId="1" type="noConversion"/>
  </si>
  <si>
    <t>(25.11.25) 현장방문 슬레이브 되있는거 같음 콘솔 OK SRP 구형이여서 변경후 콘솔 잡음 테스트는 못함</t>
    <phoneticPr fontId="1" type="noConversion"/>
  </si>
  <si>
    <t>(25.9.8) 현장방문 / 콘솔 ok 문자안옴</t>
    <phoneticPr fontId="1" type="noConversion"/>
  </si>
  <si>
    <t xml:space="preserve">(25.3.10) good </t>
    <phoneticPr fontId="1" type="noConversion"/>
  </si>
  <si>
    <t>(26.7.20) good / ESD 확인</t>
    <phoneticPr fontId="1" type="noConversion"/>
  </si>
  <si>
    <t>(25.11.12) 현장방문 / GD FD 만옴</t>
    <phoneticPr fontId="1" type="noConversion"/>
  </si>
  <si>
    <t xml:space="preserve">(25.12.3) good </t>
    <phoneticPr fontId="1" type="noConversion"/>
  </si>
  <si>
    <t>(25.11.26) 현장방문 ESD 신호안옴 / GD,FD 정상</t>
    <phoneticPr fontId="1" type="noConversion"/>
  </si>
  <si>
    <t>(25.12.9) good 
(26.8.20) 재확인</t>
    <phoneticPr fontId="1" type="noConversion"/>
  </si>
  <si>
    <t xml:space="preserve">(25.12.22) good </t>
    <phoneticPr fontId="1" type="noConversion"/>
  </si>
  <si>
    <t>(25.6.4) good 스테이션 아이디 두개</t>
    <phoneticPr fontId="1" type="noConversion"/>
  </si>
  <si>
    <t>(26.9.17)
설치완료</t>
    <phoneticPr fontId="1" type="noConversion"/>
  </si>
  <si>
    <t>(26.9.22)
설치완료</t>
    <phoneticPr fontId="1" type="noConversion"/>
  </si>
  <si>
    <t>(26.10.12)
설치완료</t>
    <phoneticPr fontId="1" type="noConversion"/>
  </si>
  <si>
    <t>(26.10.15)
설치완료</t>
    <phoneticPr fontId="1" type="noConversion"/>
  </si>
  <si>
    <t>(26.9.18)
설치완료</t>
    <phoneticPr fontId="1" type="noConversion"/>
  </si>
  <si>
    <t>(26.9.23)
설치완료</t>
    <phoneticPr fontId="1" type="noConversion"/>
  </si>
  <si>
    <t>(26.9.11)
설치완료</t>
    <phoneticPr fontId="1" type="noConversion"/>
  </si>
  <si>
    <t>(26.1.22) good</t>
    <phoneticPr fontId="1" type="noConversion"/>
  </si>
  <si>
    <t>(25.12.9) good</t>
    <phoneticPr fontId="1" type="noConversion"/>
  </si>
  <si>
    <t xml:space="preserve">(26.7.7) good </t>
    <phoneticPr fontId="1" type="noConversion"/>
  </si>
  <si>
    <t xml:space="preserve">(26.4.8) good </t>
    <phoneticPr fontId="1" type="noConversion"/>
  </si>
  <si>
    <t>(26.10.2) good</t>
    <phoneticPr fontId="1" type="noConversion"/>
  </si>
  <si>
    <t>(26.4.3) good / plc ip 192.168.85.201 / 네트워크 연결보기에서 이더넷3 ASIX USB to Gigabit Ethernet Adapter만 고정 plc ip 입력되어 있음</t>
    <phoneticPr fontId="1" type="noConversion"/>
  </si>
  <si>
    <t xml:space="preserve">(25.7.24) good </t>
    <phoneticPr fontId="1" type="noConversion"/>
  </si>
  <si>
    <t xml:space="preserve">(26.6.29) good </t>
    <phoneticPr fontId="1" type="noConversion"/>
  </si>
  <si>
    <t>(25.9.1) good</t>
    <phoneticPr fontId="1" type="noConversion"/>
  </si>
  <si>
    <t xml:space="preserve">(25.10.10) good </t>
    <phoneticPr fontId="1" type="noConversion"/>
  </si>
  <si>
    <t>(26.9.7) 정기검사시 불꽃/ESD 안옴, 현장 확인 필요</t>
    <phoneticPr fontId="1" type="noConversion"/>
  </si>
  <si>
    <t>(26.9.7) 기존 굿 (25.10.20), 정기검사시 불꽃/ESD 안옴 현장 확인 필요</t>
    <phoneticPr fontId="1" type="noConversion"/>
  </si>
  <si>
    <t xml:space="preserve">(25.9.29) good </t>
    <phoneticPr fontId="1" type="noConversion"/>
  </si>
  <si>
    <t xml:space="preserve">(25.9.23) good </t>
    <phoneticPr fontId="1" type="noConversion"/>
  </si>
  <si>
    <t xml:space="preserve">(26.9.15) good </t>
    <phoneticPr fontId="1" type="noConversion"/>
  </si>
  <si>
    <t xml:space="preserve">(25.7.16) good </t>
    <phoneticPr fontId="1" type="noConversion"/>
  </si>
  <si>
    <t xml:space="preserve">(26.6.13) good </t>
    <phoneticPr fontId="1" type="noConversion"/>
  </si>
  <si>
    <t xml:space="preserve">(26.4.14) good </t>
    <phoneticPr fontId="1" type="noConversion"/>
  </si>
  <si>
    <t>(26.10.15) 매트릭설치</t>
    <phoneticPr fontId="1" type="noConversion"/>
  </si>
  <si>
    <t xml:space="preserve">(26.5.1) 192.168.85.1 핑 안잡힘 네트워크 더보기 IP 자동으로 받음
(26.8.21)  허브(미래전자 sc 분기, 포스기pc 분기) 192.168.85.99로 ip 지정후, 192.168.85.1로 핑 ok
(26.9.9) good </t>
    <phoneticPr fontId="1" type="noConversion"/>
  </si>
  <si>
    <t>최신이력</t>
    <phoneticPr fontId="1" type="noConversion"/>
  </si>
  <si>
    <t>SRP 및 BLUE MAX 설치 불가 = 구버전 이라서 PC안에서 가상 윈도우를 연결해 시몬스? 가동중 
가상 윈도우에 SRP를 설치해야 하는데 현재 불가능 담당자 11월말 까지 호주 출장
- 문자수신 안됨</t>
    <phoneticPr fontId="1" type="noConversion"/>
  </si>
  <si>
    <t>(26.8.20) 26년 4월까진 가스 이력 있으나 26.8.20 정기검사시 신호 안옴 / 핑테스트는 연결되나 콘솔 안됨(이게 이해가 안됨) / 충전소측으로 문제점 얘기했고 조치해 달라고 요청했음(400만원 필요) / plc 시공은 삼원FA이고 시공사는 현대로템</t>
    <phoneticPr fontId="1" type="noConversion"/>
  </si>
  <si>
    <t xml:space="preserve">(26.3.25) 굿, 26년 정기검사시 신호 안옴 </t>
    <phoneticPr fontId="1" type="noConversion"/>
  </si>
  <si>
    <t xml:space="preserve">(26.9.2) GD 확인 </t>
    <phoneticPr fontId="1" type="noConversion"/>
  </si>
  <si>
    <t>(26.8.20) 액화 모니터링에서 기체 신호 받음 박재현 현장확인, GD 안옴
(26.4.17) good 
모든 IP 콘솔 ok plc 추정되는 ip(192.168.10.19)연결시 가스검지기 날라옴 담당자 추정 삼원 FA 김윤성 부장 010 8142 3567 / 현대로템 천인국 매니저 010 8931 0330 통화하여 원격필요</t>
    <phoneticPr fontId="1" type="noConversion"/>
  </si>
  <si>
    <t>과거이력 / 기타</t>
    <phoneticPr fontId="1" type="noConversion"/>
  </si>
  <si>
    <t>(26.8.20) ping ok, 콘솔x / 타 컴퓨터로 모드버스 수집기에서 수집 성공했었으나 다시 연결 실패(충전소 pc에서 사용 중인 192.168.85.10 과 대역대가 겹치는 오류로 판단되어 진행했음), 랜선 컨디션 확인 필요</t>
    <phoneticPr fontId="1" type="noConversion"/>
  </si>
  <si>
    <t xml:space="preserve">(26.9.17) 업데이트, 매트릭설치 </t>
    <phoneticPr fontId="1" type="noConversion"/>
  </si>
  <si>
    <t>(26.2.26) good</t>
  </si>
  <si>
    <t>(26.9.22) 매트릭 설치</t>
    <phoneticPr fontId="1" type="noConversion"/>
  </si>
  <si>
    <t xml:space="preserve">린데에서 방문하였으나 PC 노후로 아무 작업 하지 못함 / 매핑에 esd 없음
(26.3.30) good 
(26.8.27) 재확인 
</t>
    <phoneticPr fontId="1" type="noConversion"/>
  </si>
  <si>
    <t xml:space="preserve">(26.6.23) 공문 송부 하였음 안전관리자가 탑솔루션 견적문의 하여서 본사에 예산요청 한다고 함 </t>
    <phoneticPr fontId="1" type="noConversion"/>
  </si>
  <si>
    <t>문자수신 안됨</t>
  </si>
  <si>
    <t>(26.3.16) 현장확인 에스알피, 블루맥스, 모든 ip 콘솔 다 정상 / IP 문제 추정</t>
  </si>
  <si>
    <t>(25.4.10) good</t>
    <phoneticPr fontId="1" type="noConversion"/>
  </si>
  <si>
    <t>(26.8.18) 재확인</t>
    <phoneticPr fontId="1" type="noConversion"/>
  </si>
  <si>
    <t xml:space="preserve">(25.10.29) 담당자 KNM 이준호 과장 010 9007 1906 작업하였다고 함. 현장확인필요 
(25.11.12) good </t>
    <phoneticPr fontId="1" type="noConversion"/>
  </si>
  <si>
    <t xml:space="preserve">(26.2.10) good </t>
    <phoneticPr fontId="1" type="noConversion"/>
  </si>
  <si>
    <t xml:space="preserve">(25.10.20) good </t>
    <phoneticPr fontId="1" type="noConversion"/>
  </si>
  <si>
    <t>(26.10.6) 정기검사에 콘솔 안붙음</t>
    <phoneticPr fontId="1" type="noConversion"/>
  </si>
  <si>
    <t>(26.7.3) 굿</t>
    <phoneticPr fontId="1" type="noConversion"/>
  </si>
  <si>
    <t>(26.9.21) 레지스트리변경 O 콘솔안붙음</t>
    <phoneticPr fontId="1" type="noConversion"/>
  </si>
  <si>
    <t xml:space="preserve">유선상으로 문제 인지하고 해결된 후 ESD 만 테스트 해봄 그 외 될 것 같긴하나 GD, FD 테스트 필요
(25.12.9) good </t>
    <phoneticPr fontId="1" type="noConversion"/>
  </si>
  <si>
    <t xml:space="preserve">(25.12.6) good </t>
    <phoneticPr fontId="1" type="noConversion"/>
  </si>
  <si>
    <t xml:space="preserve">(25.10.17) good </t>
    <phoneticPr fontId="1" type="noConversion"/>
  </si>
  <si>
    <t>(25.10.15) good</t>
    <phoneticPr fontId="1" type="noConversion"/>
  </si>
  <si>
    <t>(26.5.22) good</t>
    <phoneticPr fontId="1" type="noConversion"/>
  </si>
  <si>
    <t>(25.11.25) 현장방문 슬레이브 되있는거 같음 콘솔 OK SRP 구형이여서 변경후 콘솔 잡음 테스트는 못함
문자수신 안됨</t>
    <phoneticPr fontId="1" type="noConversion"/>
  </si>
  <si>
    <t xml:space="preserve">(26.4.9) good </t>
    <phoneticPr fontId="1" type="noConversion"/>
  </si>
  <si>
    <t xml:space="preserve">(25.3.18) good </t>
    <phoneticPr fontId="1" type="noConversion"/>
  </si>
  <si>
    <t xml:space="preserve">(26.7.2) good </t>
    <phoneticPr fontId="1" type="noConversion"/>
  </si>
  <si>
    <t>(25.6.18) good</t>
    <phoneticPr fontId="1" type="noConversion"/>
  </si>
  <si>
    <t xml:space="preserve">(26.4.21) good </t>
    <phoneticPr fontId="1" type="noConversion"/>
  </si>
  <si>
    <t xml:space="preserve">(25.11.21) good </t>
    <phoneticPr fontId="1" type="noConversion"/>
  </si>
  <si>
    <t xml:space="preserve">(26.6.18) good </t>
    <phoneticPr fontId="1" type="noConversion"/>
  </si>
  <si>
    <t xml:space="preserve">(25.5.15) good </t>
    <phoneticPr fontId="1" type="noConversion"/>
  </si>
  <si>
    <t xml:space="preserve">(25.10.14) good </t>
    <phoneticPr fontId="1" type="noConversion"/>
  </si>
  <si>
    <t xml:space="preserve">(26.4.30) good </t>
    <phoneticPr fontId="1" type="noConversion"/>
  </si>
  <si>
    <t xml:space="preserve">(25.7.30) good </t>
    <phoneticPr fontId="1" type="noConversion"/>
  </si>
  <si>
    <t>(25.12.4) good</t>
    <phoneticPr fontId="1" type="noConversion"/>
  </si>
  <si>
    <t>(25.12.16) good</t>
    <phoneticPr fontId="1" type="noConversion"/>
  </si>
  <si>
    <t xml:space="preserve">ip 변경되어 ipconfig로 확인 50번은 냉동기 관련이라 맵핑에서 제외
(25.8.22) good </t>
    <phoneticPr fontId="1" type="noConversion"/>
  </si>
  <si>
    <t>(26.8.26) 재확인</t>
    <phoneticPr fontId="1" type="noConversion"/>
  </si>
  <si>
    <t xml:space="preserve">(26.3.4) good </t>
    <phoneticPr fontId="1" type="noConversion"/>
  </si>
  <si>
    <t>(26.9.10) 업데이트</t>
    <phoneticPr fontId="1" type="noConversion"/>
  </si>
  <si>
    <t>(25.10.15) 굿
(26) 정기검사시 GD 안옴</t>
    <phoneticPr fontId="1" type="noConversion"/>
  </si>
  <si>
    <t>(26.10.15) good</t>
    <phoneticPr fontId="1" type="noConversion"/>
  </si>
  <si>
    <t xml:space="preserve">(25.12.10) good </t>
    <phoneticPr fontId="1" type="noConversion"/>
  </si>
  <si>
    <t>(26.8.27) 재확인</t>
    <phoneticPr fontId="1" type="noConversion"/>
  </si>
  <si>
    <t xml:space="preserve">(26.4.15) good </t>
  </si>
  <si>
    <t>(25.12.19) good</t>
    <phoneticPr fontId="1" type="noConversion"/>
  </si>
  <si>
    <t>(26.5.28) good</t>
    <phoneticPr fontId="1" type="noConversion"/>
  </si>
  <si>
    <t>(25.10.16) good</t>
    <phoneticPr fontId="1" type="noConversion"/>
  </si>
  <si>
    <t>(25.11.21) good</t>
    <phoneticPr fontId="1" type="noConversion"/>
  </si>
  <si>
    <t xml:space="preserve">(25.7.14) good </t>
    <phoneticPr fontId="1" type="noConversion"/>
  </si>
  <si>
    <t>(26.6.8) 시스템 충돌로 모니터링 시스템 안키고 있다고 함</t>
    <phoneticPr fontId="1" type="noConversion"/>
  </si>
  <si>
    <t xml:space="preserve">(25.7.28) good </t>
    <phoneticPr fontId="1" type="noConversion"/>
  </si>
  <si>
    <t>(25.7.24) good</t>
    <phoneticPr fontId="1" type="noConversion"/>
  </si>
  <si>
    <t>(26.7.30) good</t>
    <phoneticPr fontId="1" type="noConversion"/>
  </si>
  <si>
    <t>(26.6.19) good</t>
    <phoneticPr fontId="1" type="noConversion"/>
  </si>
  <si>
    <t>(26.7.13) VPN 재설치 필요</t>
  </si>
  <si>
    <t xml:space="preserve">(26.9.21) good, 매트릭설치 </t>
    <phoneticPr fontId="1" type="noConversion"/>
  </si>
  <si>
    <t xml:space="preserve">(26.6.22) 현장확인결과 슬레이브 설정 안되어있음. 공문 보냈고 내부 회의 후 연락준다고 함 </t>
    <phoneticPr fontId="1" type="noConversion"/>
  </si>
  <si>
    <t xml:space="preserve">(26.8.24) good </t>
    <phoneticPr fontId="1" type="noConversion"/>
  </si>
  <si>
    <t xml:space="preserve">(26.9.22) 메트릭설치 </t>
    <phoneticPr fontId="1" type="noConversion"/>
  </si>
  <si>
    <t xml:space="preserve">(25.8.20) good 
(26.8.27) 재확인 </t>
    <phoneticPr fontId="1" type="noConversion"/>
  </si>
  <si>
    <t>(25.8.22) 확인 FD,ESD / GD는 25%못올린걸로 추정</t>
    <phoneticPr fontId="1" type="noConversion"/>
  </si>
  <si>
    <t>(25.8.11) good</t>
    <phoneticPr fontId="1" type="noConversion"/>
  </si>
  <si>
    <t>(26.8.31) 재확인</t>
    <phoneticPr fontId="1" type="noConversion"/>
  </si>
  <si>
    <t xml:space="preserve">(25.8.7) good </t>
    <phoneticPr fontId="1" type="noConversion"/>
  </si>
  <si>
    <t xml:space="preserve">(25.10.27) good </t>
    <phoneticPr fontId="1" type="noConversion"/>
  </si>
  <si>
    <t>(25.9.3) good / FD , GD 바뀐것으로 추정</t>
    <phoneticPr fontId="1" type="noConversion"/>
  </si>
  <si>
    <t xml:space="preserve">(25.11.20) good </t>
    <phoneticPr fontId="1" type="noConversion"/>
  </si>
  <si>
    <t>콘솔 정상 문자안옴 / 에어리퀴드 전용 SRP 콘솔X
192.168.85.1 안잡힘 네트워크 연결보기 IP 자동 설정</t>
    <phoneticPr fontId="1" type="noConversion"/>
  </si>
  <si>
    <t>(25.11.12) good</t>
    <phoneticPr fontId="1" type="noConversion"/>
  </si>
  <si>
    <t xml:space="preserve">(26.7.3) good </t>
    <phoneticPr fontId="1" type="noConversion"/>
  </si>
  <si>
    <t xml:space="preserve">(25.12.5) good </t>
    <phoneticPr fontId="1" type="noConversion"/>
  </si>
  <si>
    <t xml:space="preserve">(25.5.19) good </t>
    <phoneticPr fontId="1" type="noConversion"/>
  </si>
  <si>
    <t xml:space="preserve">(25.12.29) good </t>
    <phoneticPr fontId="1" type="noConversion"/>
  </si>
  <si>
    <t>수소충전소 미운영</t>
  </si>
  <si>
    <t xml:space="preserve">(25.10.2) good </t>
    <phoneticPr fontId="1" type="noConversion"/>
  </si>
  <si>
    <t xml:space="preserve">192.168.127.101 </t>
  </si>
  <si>
    <t>(26.5.21)  good</t>
    <phoneticPr fontId="1" type="noConversion"/>
  </si>
  <si>
    <t xml:space="preserve">(25.10.1) good </t>
    <phoneticPr fontId="1" type="noConversion"/>
  </si>
  <si>
    <t xml:space="preserve">(25.11.26) good </t>
    <phoneticPr fontId="1" type="noConversion"/>
  </si>
  <si>
    <t>(26.10.14)
설치완료</t>
    <phoneticPr fontId="1" type="noConversion"/>
  </si>
  <si>
    <t xml:space="preserve">(25.12.19) good </t>
    <phoneticPr fontId="1" type="noConversion"/>
  </si>
  <si>
    <t>(26.9.7) srp, ip 추가</t>
    <phoneticPr fontId="1" type="noConversion"/>
  </si>
  <si>
    <t>(26.4.7) good</t>
    <phoneticPr fontId="1" type="noConversion"/>
  </si>
  <si>
    <t xml:space="preserve">(26.9.7) 재확인 </t>
    <phoneticPr fontId="1" type="noConversion"/>
  </si>
  <si>
    <t xml:space="preserve">(267.9.8) 업데이트 </t>
    <phoneticPr fontId="1" type="noConversion"/>
  </si>
  <si>
    <t>(26.4.16) good</t>
    <phoneticPr fontId="1" type="noConversion"/>
  </si>
  <si>
    <t>(25.12.10) good</t>
    <phoneticPr fontId="1" type="noConversion"/>
  </si>
  <si>
    <t xml:space="preserve">(26.9.11) 업데이트, 매트릭설치 </t>
    <phoneticPr fontId="1" type="noConversion"/>
  </si>
  <si>
    <t xml:space="preserve">(26.3.18) good </t>
  </si>
  <si>
    <t xml:space="preserve">(26.2.5) good </t>
    <phoneticPr fontId="1" type="noConversion"/>
  </si>
  <si>
    <t xml:space="preserve">(26.9.8) 업데이트 </t>
    <phoneticPr fontId="1" type="noConversion"/>
  </si>
  <si>
    <t xml:space="preserve">(26.3.23) good </t>
  </si>
  <si>
    <t xml:space="preserve">(26.3.23) good </t>
    <phoneticPr fontId="1" type="noConversion"/>
  </si>
  <si>
    <t xml:space="preserve">(25.12.8) good </t>
    <phoneticPr fontId="1" type="noConversion"/>
  </si>
  <si>
    <t>(26.4.6) good</t>
    <phoneticPr fontId="1" type="noConversion"/>
  </si>
  <si>
    <t xml:space="preserve">(26.5.15) good </t>
    <phoneticPr fontId="1" type="noConversion"/>
  </si>
  <si>
    <t>(26.9.10)
설치완료</t>
    <phoneticPr fontId="1" type="noConversion"/>
  </si>
  <si>
    <t>(26.9.10) 업데이트 , 메트릭설치</t>
    <phoneticPr fontId="1" type="noConversion"/>
  </si>
  <si>
    <t xml:space="preserve">(26.8.13) good </t>
  </si>
  <si>
    <t>(26.8.21) good / 긴급,화염,가스 ok
- 맵핑 2.0으로 시작, db는 3.0으로 시작(과천꺼)</t>
    <phoneticPr fontId="1" type="noConversion"/>
  </si>
  <si>
    <t>조치1)
현대 네트워크 충돌(192.168.85.1) 의심
에어리퀴드 ip 대역대(10.0.85.2) 설정 및 분리햇음
조치2) 주원인 추정
워크스테이션의 랜카드 우선순위 통신문제로 인해서 Pc 후단 메인랜포트(kgs), usb랜포트(에어리퀴드) 스위칭</t>
    <phoneticPr fontId="1" type="noConversion"/>
  </si>
  <si>
    <t xml:space="preserve">(26.9.11) good </t>
    <phoneticPr fontId="1" type="noConversion"/>
  </si>
  <si>
    <t>(26.9.16) good</t>
    <phoneticPr fontId="1" type="noConversion"/>
  </si>
  <si>
    <t xml:space="preserve">(26.8.28) 재확인 </t>
    <phoneticPr fontId="1" type="noConversion"/>
  </si>
  <si>
    <t xml:space="preserve">(25.11.24) 현장방문 / 콘솔 OK / 현장에 셧다운 확인이 안됨 ㅡ&gt; 그래서 신호안오는건지는 모르겠음 ㅡ&gt; 추후 효성 연락와서 셧다운은 됬는데 화면 에러 라고함 ?? 추후 미리연락하고 신호확인 필요
(26.6.25) good </t>
    <phoneticPr fontId="1" type="noConversion"/>
  </si>
  <si>
    <t>(26.6.23) 현장 모니터 및 PC3대 압축기4대 압축기 1개는 스페어라서 압축기 고장나면 스카다를 스페어 신호를 받게끔 변경한다고 함 /좌측, 중간 스카다 PC이나 둘다 인터넷이 됨 + 좌측 PC 가상망안에 스카다가 있음 가상망 192.168.83.54 에 수동연결 일반 화면 전용 IP 안됨 (자동연결) / 중간PC 이더넷2개 자동1, 수동 192.168.83.60 전용 IP안됨 / 우측 PC (포스기) 이더넷2개 자동1개 수동 192.168.85.233 제일 어려운 시설 같음.. 포스 PC수동인데 핑 안붙음 그나마 스카다 PC가 인터넷이 되어서 시도해 볼만함</t>
    <phoneticPr fontId="1" type="noConversion"/>
  </si>
  <si>
    <t xml:space="preserve">(26.1.27) 현장 확인 ESD 신호 안옴 / 광신이 최초 시공 추후에 유지보수 업체 변경 변경된 업체에서 스카다 수정 권한이 없음, 광신은 일하지 않겠다고 함 </t>
    <phoneticPr fontId="1" type="noConversion"/>
  </si>
  <si>
    <t>(26.8.20)  재확인</t>
    <phoneticPr fontId="1" type="noConversion"/>
  </si>
  <si>
    <t>IP 10.10.9.100 포트 504 / 린데 업체에서 와서 협조 해줬음 현재 기술력으로 우리끼리 불가능 / 26.1.30 현장 같이 방문
(26.1.30) good</t>
    <phoneticPr fontId="1" type="noConversion"/>
  </si>
  <si>
    <t>충전기 2대 PLC2대 이며 모드버스 신호가 별도로 옮 한 PC에 신호가 따로 옮 그래서 1PC 2 SRP 셋팅 하였음 (기체 사이트에서 상용, 고객용),</t>
  </si>
  <si>
    <t>(25.7) 현장확인 / ESD 계속 들어옴 매핑이 꼬인거같음 / 23년5월까지 들어옴</t>
    <phoneticPr fontId="1" type="noConversion"/>
  </si>
  <si>
    <t xml:space="preserve">(26.10.12) 메트릭 설치 </t>
    <phoneticPr fontId="1" type="noConversion"/>
  </si>
  <si>
    <t xml:space="preserve">(23.12.19) 굿 2년 지나서 확인필요 </t>
  </si>
  <si>
    <t xml:space="preserve">(26.6.5) good  / 레지스트리 변경: O </t>
    <phoneticPr fontId="1" type="noConversion"/>
  </si>
  <si>
    <t xml:space="preserve">(26.7.21) 네트워크 연결 pc ip 192.168.0.80 plc ip임 </t>
    <phoneticPr fontId="1" type="noConversion"/>
  </si>
  <si>
    <t xml:space="preserve">(25.11.28) 현장방문 (콘솔 연결 불가 PC3대 제어용 = 인터넷 X, 포스 PC 및 업무용 PC 둘다 IP(192.168.0.61)가 안붙음 / 핑테스트 실패 </t>
  </si>
  <si>
    <t xml:space="preserve">(26.9.14) 굿[충전기2, ESD(16) B접점으로 되어있어 제외시킴. 협의 필요] </t>
    <phoneticPr fontId="1" type="noConversion"/>
  </si>
  <si>
    <t>현재 인터넷 안됨 / 작년에는 됬었음 방문전에 유선 확인필요 / 문자수신 안됨</t>
    <phoneticPr fontId="1" type="noConversion"/>
  </si>
  <si>
    <t>EM3114001</t>
    <phoneticPr fontId="1" type="noConversion"/>
  </si>
  <si>
    <t xml:space="preserve">(26.9.22) 매트릭설치 </t>
    <phoneticPr fontId="1" type="noConversion"/>
  </si>
  <si>
    <t>(25.11.28) 현장방문 (청주와 동일하게 설치하였음)
(25.12.3) good/ 정기검사시 확인</t>
    <phoneticPr fontId="1" type="noConversion"/>
  </si>
  <si>
    <t>(26.5.7) 현재 휴지</t>
    <phoneticPr fontId="1" type="noConversion"/>
  </si>
  <si>
    <t xml:space="preserve">(26.6.24) 압축가스 설비 FD 신호 안옴. 11월 증설할때 담당자와 협의 후 추가 설정 필요 </t>
    <phoneticPr fontId="1" type="noConversion"/>
  </si>
  <si>
    <t xml:space="preserve">(26.10.13) 메트릭설치, good(FD, ESD 확인) </t>
    <phoneticPr fontId="1" type="noConversion"/>
  </si>
  <si>
    <t xml:space="preserve">문자수신 안됨
&gt; 한영전기로부터 맵핑리스트 받아서 변견
&gt; 네트워크 연결보기에서 ip 찾아서 연결 
&gt; 콘솔 붙음 (IP 모두다 OK 25.7.3 확인)
(26.7.21) 장시간 통신장애여서 정기검사때 동행검사 필요 </t>
    <phoneticPr fontId="1" type="noConversion"/>
  </si>
  <si>
    <t xml:space="preserve">(25.5.22) good </t>
  </si>
  <si>
    <t xml:space="preserve">(25.7.18) 콘솔 OK , 모드버스 에어리퀴드와 확인 매핑은 이상없으나 신호 안됨 </t>
  </si>
  <si>
    <t xml:space="preserve">(25.11.21) 방문 슬레이브 안되어 있음 </t>
  </si>
  <si>
    <t>(26.1.27) 현장확인 압축기 내부 GD 확인 외부 GD 긴급으로 오는거 확인 디스펜서 ESD 확인 / FD 내외부 확인불가 다른날 잡기를 원함</t>
    <phoneticPr fontId="1" type="noConversion"/>
  </si>
  <si>
    <t>(26.10.15) 랜카드 192.168.0.86으로 설정. 설치는 하였으나 통신상태 불안정함. 콘솔이 붙어도 daily 파일이 생성안되면 신호 안옴</t>
    <phoneticPr fontId="1" type="noConversion"/>
  </si>
  <si>
    <t>(26.3.11) 현장확인 콘솔 안붙음 / 넬 에서 가르쳐준 IP 사용 192.168.0.61 핑테스트 OK 캐빈디쉬 연락필요 
문자수신 안됨</t>
    <phoneticPr fontId="1" type="noConversion"/>
  </si>
  <si>
    <t xml:space="preserve">(26.7.29) good </t>
    <phoneticPr fontId="1" type="noConversion"/>
  </si>
  <si>
    <t xml:space="preserve">(26.1.16) GD 확인, ESD,FD 확인 </t>
  </si>
  <si>
    <t xml:space="preserve">(26.4.4) 굿 22년4월까지 수신 (ESD만 옴) / 신규, 증설 협의 필요 </t>
    <phoneticPr fontId="1" type="noConversion"/>
  </si>
  <si>
    <t>(26.9.18) 메트릭설치, 탑에서 plc 건드려서 ip 변경됨</t>
    <phoneticPr fontId="1" type="noConversion"/>
  </si>
  <si>
    <t xml:space="preserve">(26.3.25) good </t>
  </si>
  <si>
    <t>(26.8.21) 재확인</t>
    <phoneticPr fontId="1" type="noConversion"/>
  </si>
  <si>
    <t>172.30.1.52 기존 IP 포트 9700 연결안됨 / 192.168.10.10 로 바꾸었더니 콘솔 붙었으나 현장 여건상 테스트 불가 / IP 변경이후 잘들어옴 ? 22년도에는 어떻게 신호가 왔지 ?
(25.11.24) good</t>
    <phoneticPr fontId="1" type="noConversion"/>
  </si>
  <si>
    <t xml:space="preserve">(26.3.13) 기존 굿이었으나 콘솔 안됨 / 현장에 긴급차단장치 2ea 미연동 3.13 기준  ㅡ&gt; 추후 연동 필요 </t>
    <phoneticPr fontId="1" type="noConversion"/>
  </si>
  <si>
    <t>(26.6.8) 콘솔 안붙음 모드버스 안되는거 같음. 화면 표시 안됨</t>
    <phoneticPr fontId="1" type="noConversion"/>
  </si>
  <si>
    <t xml:space="preserve">(26.8.21) 재확인 </t>
    <phoneticPr fontId="1" type="noConversion"/>
  </si>
  <si>
    <t>발맥스 PLC 담당자 ? 슬레이브 잡는거 어려워함
(25.11.5) good</t>
    <phoneticPr fontId="1" type="noConversion"/>
  </si>
  <si>
    <t>(25.10.20) 현장확인 192.168.0.199 제어 PC / 172.30.1.50 SRP 설치 PC 왜 안오는지 모르겠음 / 추후 청주 수소충전소 및 넬코리아 자료에 있는 IP 확인하여 방문필요</t>
    <phoneticPr fontId="1" type="noConversion"/>
  </si>
  <si>
    <t>(26.9.23) 매트릭설치, 콘솔 붙음. 테스트 이력 없음</t>
    <phoneticPr fontId="1" type="noConversion"/>
  </si>
  <si>
    <t>문자수신 안됨 / 5월 모드버스 다시받음 매핑 재설치 필요</t>
    <phoneticPr fontId="1" type="noConversion"/>
  </si>
  <si>
    <t>(26.6.18) 넬코리아 전용 IP가 인터넷 PC 스카다 PC 둘다 붙음 인터넷 PC는 신호가 안오고 스카다 PC는 인터넷이 안됨</t>
    <phoneticPr fontId="1" type="noConversion"/>
  </si>
  <si>
    <t xml:space="preserve">(26.9.18) 메트릭설치 </t>
    <phoneticPr fontId="1" type="noConversion"/>
  </si>
  <si>
    <t xml:space="preserve">(26.9.11) 메트릭설치 안됨. PC문제인 것 같음 </t>
    <phoneticPr fontId="1" type="noConversion"/>
  </si>
  <si>
    <t xml:space="preserve">(25.11.10) good </t>
  </si>
  <si>
    <t xml:space="preserve">(25.11.13) good </t>
  </si>
  <si>
    <t>KS4623001
KS4623002</t>
    <phoneticPr fontId="1" type="noConversion"/>
  </si>
  <si>
    <t xml:space="preserve">(26.1.22) good </t>
    <phoneticPr fontId="1" type="noConversion"/>
  </si>
  <si>
    <t>(25.6.10) good</t>
    <phoneticPr fontId="1" type="noConversion"/>
  </si>
  <si>
    <t>(26.7.9) good</t>
    <phoneticPr fontId="1" type="noConversion"/>
  </si>
  <si>
    <t>(25.7.31) 현장 확인 포스pc kgs_188, 인터넷pc kgs_269) 콘솔 X (23.6.1)까지 신호 왔음</t>
    <phoneticPr fontId="1" type="noConversion"/>
  </si>
  <si>
    <t>(26.5.14) good</t>
  </si>
  <si>
    <t>(25.9.15) 현장방문 신호안감</t>
  </si>
  <si>
    <t>네트워크 통신에 kgs 있긴함 . 모니터링 100% 설정 되어있는지는 모름 
문자수신 안됨</t>
    <phoneticPr fontId="1" type="noConversion"/>
  </si>
  <si>
    <t>(26.6.8) 테스트용 1~125 더미 두었음 / 추후 사전 연락후 테스트</t>
  </si>
  <si>
    <t>(25.4.8) 콘솔에러</t>
    <phoneticPr fontId="1" type="noConversion"/>
  </si>
  <si>
    <t>(26.10.13)
설치완료</t>
    <phoneticPr fontId="1" type="noConversion"/>
  </si>
  <si>
    <t>(26.9.18) good , 매트릭설치</t>
    <phoneticPr fontId="1" type="noConversion"/>
  </si>
  <si>
    <t>(26.9.17) 매트릭 설치</t>
    <phoneticPr fontId="1" type="noConversion"/>
  </si>
  <si>
    <t>(26.10.14) 매트릭 설치</t>
    <phoneticPr fontId="1" type="noConversion"/>
  </si>
  <si>
    <t xml:space="preserve">(26.10.14) 매트릭설치, good </t>
    <phoneticPr fontId="1" type="noConversion"/>
  </si>
  <si>
    <t xml:space="preserve">(26.9.11) 매트릭설치 </t>
    <phoneticPr fontId="1" type="noConversion"/>
  </si>
  <si>
    <t>(26.9.15)
설치완료</t>
    <phoneticPr fontId="1" type="noConversion"/>
  </si>
  <si>
    <t>(26.9.16)
설치완료</t>
    <phoneticPr fontId="1" type="noConversion"/>
  </si>
  <si>
    <t>KGS_221</t>
    <phoneticPr fontId="1" type="noConversion"/>
  </si>
  <si>
    <t>kgs_304</t>
    <phoneticPr fontId="1" type="noConversion"/>
  </si>
  <si>
    <t>JK4719002</t>
    <phoneticPr fontId="1" type="noConversion"/>
  </si>
  <si>
    <t>kgs_326</t>
    <phoneticPr fontId="1" type="noConversion"/>
  </si>
  <si>
    <t>192.168.0.8</t>
    <phoneticPr fontId="1" type="noConversion"/>
  </si>
  <si>
    <t>Kgs_079</t>
    <phoneticPr fontId="1" type="noConversion"/>
  </si>
  <si>
    <t>kgs_321</t>
  </si>
  <si>
    <t>JG4812002</t>
  </si>
  <si>
    <t>AR4159002</t>
    <phoneticPr fontId="1" type="noConversion"/>
  </si>
  <si>
    <t>kgs_093</t>
    <phoneticPr fontId="1" type="noConversion"/>
  </si>
  <si>
    <t>kgs_244 (제조식)
kgs_281 (저장식)</t>
    <phoneticPr fontId="1" type="noConversion"/>
  </si>
  <si>
    <t>KS2920001</t>
    <phoneticPr fontId="1" type="noConversion"/>
  </si>
  <si>
    <t>kgs_129 (기존)
kgs_306 (개질기)</t>
    <phoneticPr fontId="1" type="noConversion"/>
  </si>
  <si>
    <t>221.160.193.100</t>
    <phoneticPr fontId="1" type="noConversion"/>
  </si>
  <si>
    <t>kgs_009 (기존)
kgs_284 (증설)</t>
    <phoneticPr fontId="1" type="noConversion"/>
  </si>
  <si>
    <r>
      <rPr>
        <b/>
        <sz val="10"/>
        <color rgb="FFFF0000"/>
        <rFont val="맑은 고딕"/>
        <family val="3"/>
        <charset val="129"/>
        <scheme val="major"/>
      </rPr>
      <t>('24.9.)변경완성검사(충전기 수량 3기 증가)</t>
    </r>
    <r>
      <rPr>
        <sz val="10"/>
        <color rgb="FFFF0000"/>
        <rFont val="맑은 고딕"/>
        <family val="3"/>
        <charset val="129"/>
        <scheme val="major"/>
      </rPr>
      <t xml:space="preserve">
('25.3.) 압축가스설비 1기 증설</t>
    </r>
    <phoneticPr fontId="1" type="noConversion"/>
  </si>
  <si>
    <t>(26.10.19)
설치완료</t>
    <phoneticPr fontId="1" type="noConversion"/>
  </si>
  <si>
    <t>통신장애 (액)</t>
    <phoneticPr fontId="1" type="noConversion"/>
  </si>
  <si>
    <t>(26.10.20)
설치완료</t>
    <phoneticPr fontId="1" type="noConversion"/>
  </si>
  <si>
    <t>동곡융복합수소충전소</t>
    <phoneticPr fontId="1" type="noConversion"/>
  </si>
  <si>
    <r>
      <t>오수</t>
    </r>
    <r>
      <rPr>
        <sz val="10"/>
        <color rgb="FF000000"/>
        <rFont val="굴림체"/>
        <family val="3"/>
        <charset val="129"/>
      </rPr>
      <t>(</t>
    </r>
    <r>
      <rPr>
        <sz val="10"/>
        <color rgb="FF000000"/>
        <rFont val="맑은 고딕"/>
        <family val="3"/>
        <charset val="129"/>
        <scheme val="minor"/>
      </rPr>
      <t>완주</t>
    </r>
    <r>
      <rPr>
        <sz val="10"/>
        <color rgb="FF000000"/>
        <rFont val="굴림체"/>
        <family val="3"/>
        <charset val="129"/>
      </rPr>
      <t>)</t>
    </r>
    <r>
      <rPr>
        <sz val="10"/>
        <color rgb="FF000000"/>
        <rFont val="맑은 고딕"/>
        <family val="3"/>
        <charset val="129"/>
        <scheme val="minor"/>
      </rPr>
      <t>휴게소 수소충전소</t>
    </r>
    <phoneticPr fontId="1" type="noConversion"/>
  </si>
  <si>
    <t>(26.10.21)
설치완료</t>
    <phoneticPr fontId="1" type="noConversion"/>
  </si>
  <si>
    <t>192.168.117.110 (기존)
127.0.0.1 (증설)</t>
    <phoneticPr fontId="1" type="noConversion"/>
  </si>
  <si>
    <t>502 (기존 증설 모두)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</si>
</sst>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_ "/>
  </numFmts>
  <fonts count="4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굴림"/>
      <family val="3"/>
      <charset val="129"/>
    </font>
    <font>
      <sz val="10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  <font>
      <sz val="10"/>
      <color theme="1"/>
      <name val="맑은 고딕"/>
      <family val="2"/>
      <charset val="129"/>
      <scheme val="minor"/>
    </font>
    <font>
      <sz val="10"/>
      <color theme="1"/>
      <name val="굴림"/>
      <family val="3"/>
      <charset val="129"/>
    </font>
    <font>
      <sz val="10"/>
      <color rgb="FF000000"/>
      <name val="굴림체"/>
      <family val="3"/>
      <charset val="129"/>
    </font>
    <font>
      <b/>
      <sz val="10"/>
      <color rgb="FF0000FF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rgb="FF0070C0"/>
      <name val="맑은 고딕"/>
      <family val="3"/>
      <charset val="129"/>
      <scheme val="major"/>
    </font>
    <font>
      <b/>
      <sz val="10"/>
      <color rgb="FF0070C0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b/>
      <sz val="10"/>
      <color rgb="FF00B050"/>
      <name val="맑은 고딕"/>
      <family val="3"/>
      <charset val="129"/>
      <scheme val="minor"/>
    </font>
    <font>
      <b/>
      <sz val="10"/>
      <color rgb="FFFF00FF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7"/>
      <color theme="1"/>
      <name val="맑은 고딕"/>
      <family val="3"/>
      <charset val="129"/>
    </font>
    <font>
      <sz val="10"/>
      <color rgb="FF0070C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굴림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ajor"/>
    </font>
    <font>
      <sz val="11"/>
      <color rgb="FF0000FF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0"/>
      <color rgb="FFFF0000"/>
      <name val="굴림체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name val="굴림"/>
      <family val="3"/>
      <charset val="129"/>
    </font>
    <font>
      <b/>
      <sz val="10"/>
      <color rgb="FF0000FF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i/>
      <u/>
      <sz val="10"/>
      <color rgb="FFFF0000"/>
      <name val="맑은 고딕"/>
      <family val="3"/>
      <charset val="129"/>
      <scheme val="major"/>
    </font>
    <font>
      <i/>
      <u/>
      <sz val="10"/>
      <color rgb="FF000000"/>
      <name val="맑은 고딕"/>
      <family val="3"/>
      <charset val="129"/>
      <scheme val="major"/>
    </font>
    <font>
      <i/>
      <u/>
      <sz val="10"/>
      <color theme="1"/>
      <name val="맑은 고딕"/>
      <family val="3"/>
      <charset val="129"/>
      <scheme val="maj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</cellStyleXfs>
  <cellXfs count="417">
    <xf numFmtId="0" fontId="0" fillId="0" borderId="0" xfId="0">
      <alignment vertical="center"/>
    </xf>
    <xf numFmtId="0" fontId="2" fillId="0" borderId="0" xfId="0" applyNumberFormat="1" applyFont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0" xfId="0" applyNumberFormat="1" applyFont="1" applyFill="1">
      <alignment vertical="center"/>
    </xf>
    <xf numFmtId="49" fontId="2" fillId="0" borderId="0" xfId="0" applyNumberFormat="1" applyFont="1" applyFill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left" vertical="center"/>
    </xf>
    <xf numFmtId="49" fontId="2" fillId="0" borderId="0" xfId="0" applyNumberFormat="1" applyFont="1">
      <alignment vertical="center"/>
    </xf>
    <xf numFmtId="49" fontId="2" fillId="0" borderId="0" xfId="0" applyNumberFormat="1" applyFont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49" fontId="4" fillId="0" borderId="1" xfId="0" quotePrefix="1" applyNumberFormat="1" applyFont="1" applyFill="1" applyBorder="1" applyAlignment="1">
      <alignment horizontal="center" vertical="center" wrapText="1"/>
    </xf>
    <xf numFmtId="49" fontId="2" fillId="0" borderId="1" xfId="0" quotePrefix="1" applyNumberFormat="1" applyFont="1" applyFill="1" applyBorder="1" applyAlignment="1">
      <alignment horizontal="center" vertical="center"/>
    </xf>
    <xf numFmtId="0" fontId="2" fillId="0" borderId="0" xfId="0" applyNumberFormat="1" applyFont="1" applyFill="1">
      <alignment vertical="center"/>
    </xf>
    <xf numFmtId="0" fontId="6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Fill="1" applyBorder="1" applyAlignment="1">
      <alignment horizontal="center" vertical="center" wrapText="1"/>
    </xf>
    <xf numFmtId="14" fontId="4" fillId="0" borderId="1" xfId="0" applyNumberFormat="1" applyFont="1" applyFill="1" applyBorder="1" applyAlignment="1">
      <alignment horizontal="center" vertical="center" wrapText="1"/>
    </xf>
    <xf numFmtId="49" fontId="6" fillId="0" borderId="1" xfId="0" quotePrefix="1" applyNumberFormat="1" applyFont="1" applyFill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14" fontId="2" fillId="0" borderId="1" xfId="0" applyNumberFormat="1" applyFont="1" applyFill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3" fillId="2" borderId="2" xfId="0" applyNumberFormat="1" applyFont="1" applyFill="1" applyBorder="1" applyAlignment="1">
      <alignment horizontal="center" vertical="center" wrapText="1"/>
    </xf>
    <xf numFmtId="0" fontId="3" fillId="2" borderId="5" xfId="0" applyNumberFormat="1" applyFont="1" applyFill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Font="1" applyFill="1" applyBorder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>
      <alignment vertical="center"/>
    </xf>
    <xf numFmtId="176" fontId="7" fillId="3" borderId="3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 wrapText="1"/>
    </xf>
    <xf numFmtId="176" fontId="7" fillId="3" borderId="5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0" fillId="0" borderId="1" xfId="0" applyFont="1" applyFill="1" applyBorder="1" applyAlignment="1">
      <alignment horizontal="center" vertical="center"/>
    </xf>
    <xf numFmtId="49" fontId="11" fillId="0" borderId="0" xfId="0" applyNumberFormat="1" applyFont="1" applyFill="1">
      <alignment vertical="center"/>
    </xf>
    <xf numFmtId="0" fontId="20" fillId="0" borderId="1" xfId="0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12" fillId="0" borderId="1" xfId="0" applyFont="1" applyFill="1" applyBorder="1">
      <alignment vertical="center"/>
    </xf>
    <xf numFmtId="0" fontId="6" fillId="0" borderId="1" xfId="0" applyNumberFormat="1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12" fillId="0" borderId="1" xfId="0" applyFont="1" applyFill="1" applyBorder="1" applyAlignment="1">
      <alignment vertical="center"/>
    </xf>
    <xf numFmtId="0" fontId="12" fillId="0" borderId="1" xfId="0" applyFont="1" applyFill="1" applyBorder="1" applyAlignment="1">
      <alignment horizontal="left" vertical="center"/>
    </xf>
    <xf numFmtId="0" fontId="15" fillId="0" borderId="1" xfId="0" applyFont="1" applyFill="1" applyBorder="1" applyAlignment="1">
      <alignment horizontal="center" vertical="center"/>
    </xf>
    <xf numFmtId="0" fontId="12" fillId="0" borderId="0" xfId="0" applyFont="1" applyFill="1">
      <alignment vertical="center"/>
    </xf>
    <xf numFmtId="0" fontId="8" fillId="0" borderId="1" xfId="0" applyFont="1" applyFill="1" applyBorder="1" applyAlignment="1">
      <alignment horizontal="justify" vertical="center"/>
    </xf>
    <xf numFmtId="0" fontId="16" fillId="0" borderId="1" xfId="0" applyFont="1" applyFill="1" applyBorder="1" applyAlignment="1">
      <alignment horizontal="center" vertical="center"/>
    </xf>
    <xf numFmtId="0" fontId="30" fillId="0" borderId="0" xfId="0" applyFont="1" applyFill="1" applyAlignment="1">
      <alignment horizontal="center" vertical="center"/>
    </xf>
    <xf numFmtId="0" fontId="34" fillId="0" borderId="1" xfId="0" applyNumberFormat="1" applyFont="1" applyFill="1" applyBorder="1" applyAlignment="1">
      <alignment horizontal="center" vertical="center" wrapText="1"/>
    </xf>
    <xf numFmtId="177" fontId="34" fillId="0" borderId="1" xfId="0" applyNumberFormat="1" applyFont="1" applyFill="1" applyBorder="1" applyAlignment="1">
      <alignment horizontal="center" vertical="center" wrapText="1"/>
    </xf>
    <xf numFmtId="49" fontId="20" fillId="0" borderId="1" xfId="0" applyNumberFormat="1" applyFont="1" applyFill="1" applyBorder="1" applyAlignment="1">
      <alignment horizontal="center" vertical="center"/>
    </xf>
    <xf numFmtId="14" fontId="20" fillId="0" borderId="1" xfId="0" applyNumberFormat="1" applyFont="1" applyFill="1" applyBorder="1" applyAlignment="1">
      <alignment horizontal="center" vertical="center" wrapText="1"/>
    </xf>
    <xf numFmtId="14" fontId="20" fillId="0" borderId="1" xfId="0" applyNumberFormat="1" applyFont="1" applyFill="1" applyBorder="1" applyAlignment="1">
      <alignment horizontal="center" vertical="center"/>
    </xf>
    <xf numFmtId="0" fontId="35" fillId="0" borderId="0" xfId="0" applyFont="1" applyFill="1">
      <alignment vertical="center"/>
    </xf>
    <xf numFmtId="0" fontId="0" fillId="0" borderId="0" xfId="0" applyFont="1" applyFill="1">
      <alignment vertical="center"/>
    </xf>
    <xf numFmtId="0" fontId="17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30" fillId="0" borderId="1" xfId="0" applyFont="1" applyFill="1" applyBorder="1">
      <alignment vertical="center"/>
    </xf>
    <xf numFmtId="49" fontId="30" fillId="0" borderId="1" xfId="0" quotePrefix="1" applyNumberFormat="1" applyFont="1" applyFill="1" applyBorder="1" applyAlignment="1">
      <alignment horizontal="center" vertical="center"/>
    </xf>
    <xf numFmtId="0" fontId="33" fillId="0" borderId="0" xfId="0" applyFont="1" applyFill="1">
      <alignment vertical="center"/>
    </xf>
    <xf numFmtId="0" fontId="8" fillId="0" borderId="1" xfId="0" applyFont="1" applyFill="1" applyBorder="1" applyAlignment="1">
      <alignment horizontal="center" vertical="center"/>
    </xf>
    <xf numFmtId="0" fontId="30" fillId="0" borderId="1" xfId="0" applyFont="1" applyFill="1" applyBorder="1" applyAlignment="1">
      <alignment vertical="center"/>
    </xf>
    <xf numFmtId="49" fontId="30" fillId="0" borderId="1" xfId="0" applyNumberFormat="1" applyFont="1" applyFill="1" applyBorder="1" applyAlignment="1">
      <alignment horizontal="center" vertical="center"/>
    </xf>
    <xf numFmtId="0" fontId="30" fillId="0" borderId="0" xfId="0" applyFont="1" applyFill="1">
      <alignment vertical="center"/>
    </xf>
    <xf numFmtId="0" fontId="30" fillId="0" borderId="1" xfId="0" applyFont="1" applyFill="1" applyBorder="1" applyAlignment="1">
      <alignment horizontal="center" vertical="center" wrapText="1"/>
    </xf>
    <xf numFmtId="0" fontId="30" fillId="0" borderId="1" xfId="0" applyFont="1" applyFill="1" applyBorder="1" applyAlignment="1">
      <alignment horizontal="justify" vertical="center"/>
    </xf>
    <xf numFmtId="0" fontId="8" fillId="0" borderId="1" xfId="0" applyFont="1" applyFill="1" applyBorder="1" applyAlignment="1">
      <alignment horizontal="left" vertical="center"/>
    </xf>
    <xf numFmtId="0" fontId="34" fillId="0" borderId="1" xfId="0" applyNumberFormat="1" applyFont="1" applyFill="1" applyBorder="1" applyAlignment="1">
      <alignment horizontal="center" vertical="center"/>
    </xf>
    <xf numFmtId="177" fontId="11" fillId="0" borderId="1" xfId="0" applyNumberFormat="1" applyFont="1" applyFill="1" applyBorder="1" applyAlignment="1">
      <alignment horizontal="center" vertical="center" wrapText="1"/>
    </xf>
    <xf numFmtId="49" fontId="34" fillId="0" borderId="0" xfId="0" applyNumberFormat="1" applyFont="1" applyFill="1">
      <alignment vertical="center"/>
    </xf>
    <xf numFmtId="49" fontId="2" fillId="0" borderId="1" xfId="0" applyNumberFormat="1" applyFont="1" applyFill="1" applyBorder="1">
      <alignment vertical="center"/>
    </xf>
    <xf numFmtId="49" fontId="34" fillId="0" borderId="1" xfId="0" applyNumberFormat="1" applyFont="1" applyFill="1" applyBorder="1" applyAlignment="1">
      <alignment horizontal="center" vertical="center"/>
    </xf>
    <xf numFmtId="49" fontId="34" fillId="0" borderId="1" xfId="0" applyNumberFormat="1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vertical="center" wrapText="1"/>
    </xf>
    <xf numFmtId="14" fontId="34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vertical="center"/>
    </xf>
    <xf numFmtId="0" fontId="30" fillId="0" borderId="1" xfId="0" applyNumberFormat="1" applyFont="1" applyFill="1" applyBorder="1" applyAlignment="1">
      <alignment horizontal="center" vertical="center"/>
    </xf>
    <xf numFmtId="0" fontId="12" fillId="0" borderId="1" xfId="0" applyNumberFormat="1" applyFont="1" applyFill="1" applyBorder="1" applyAlignment="1">
      <alignment horizontal="center" vertical="center"/>
    </xf>
    <xf numFmtId="49" fontId="12" fillId="0" borderId="1" xfId="0" quotePrefix="1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31" fillId="0" borderId="1" xfId="0" applyFont="1" applyFill="1" applyBorder="1" applyAlignment="1">
      <alignment horizontal="center" vertical="center"/>
    </xf>
    <xf numFmtId="0" fontId="31" fillId="0" borderId="1" xfId="0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horizontal="center" vertical="center" wrapText="1"/>
    </xf>
    <xf numFmtId="0" fontId="29" fillId="0" borderId="0" xfId="0" applyFont="1" applyFill="1" applyAlignment="1">
      <alignment horizontal="center" vertical="center"/>
    </xf>
    <xf numFmtId="0" fontId="4" fillId="6" borderId="1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NumberFormat="1" applyFont="1" applyFill="1" applyBorder="1" applyAlignment="1">
      <alignment horizontal="center" vertical="center"/>
    </xf>
    <xf numFmtId="177" fontId="4" fillId="6" borderId="1" xfId="0" applyNumberFormat="1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justify" vertical="center"/>
    </xf>
    <xf numFmtId="14" fontId="6" fillId="6" borderId="1" xfId="0" applyNumberFormat="1" applyFont="1" applyFill="1" applyBorder="1" applyAlignment="1">
      <alignment horizontal="center" vertical="center" wrapText="1"/>
    </xf>
    <xf numFmtId="14" fontId="6" fillId="6" borderId="1" xfId="0" applyNumberFormat="1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0" fillId="6" borderId="0" xfId="0" applyFill="1">
      <alignment vertical="center"/>
    </xf>
    <xf numFmtId="14" fontId="30" fillId="0" borderId="1" xfId="0" applyNumberFormat="1" applyFont="1" applyFill="1" applyBorder="1" applyAlignment="1">
      <alignment horizontal="center" vertical="center" wrapText="1"/>
    </xf>
    <xf numFmtId="49" fontId="34" fillId="0" borderId="1" xfId="0" applyNumberFormat="1" applyFont="1" applyFill="1" applyBorder="1" applyAlignment="1">
      <alignment horizontal="left" vertical="center" wrapText="1"/>
    </xf>
    <xf numFmtId="49" fontId="30" fillId="0" borderId="1" xfId="0" applyNumberFormat="1" applyFont="1" applyFill="1" applyBorder="1" applyAlignment="1">
      <alignment vertical="center" wrapText="1"/>
    </xf>
    <xf numFmtId="49" fontId="11" fillId="0" borderId="1" xfId="0" applyNumberFormat="1" applyFont="1" applyFill="1" applyBorder="1" applyAlignment="1">
      <alignment horizontal="center" vertical="center" wrapText="1"/>
    </xf>
    <xf numFmtId="49" fontId="11" fillId="0" borderId="1" xfId="0" applyNumberFormat="1" applyFont="1" applyFill="1" applyBorder="1" applyAlignment="1">
      <alignment vertical="center" wrapText="1"/>
    </xf>
    <xf numFmtId="14" fontId="11" fillId="0" borderId="1" xfId="0" applyNumberFormat="1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justify" vertical="center"/>
    </xf>
    <xf numFmtId="49" fontId="11" fillId="0" borderId="1" xfId="0" applyNumberFormat="1" applyFont="1" applyFill="1" applyBorder="1" applyAlignment="1">
      <alignment horizontal="center" vertical="center"/>
    </xf>
    <xf numFmtId="0" fontId="30" fillId="0" borderId="1" xfId="0" applyNumberFormat="1" applyFont="1" applyFill="1" applyBorder="1" applyAlignment="1">
      <alignment horizontal="center" vertical="center" wrapText="1"/>
    </xf>
    <xf numFmtId="49" fontId="11" fillId="0" borderId="1" xfId="0" applyNumberFormat="1" applyFont="1" applyFill="1" applyBorder="1">
      <alignment vertical="center"/>
    </xf>
    <xf numFmtId="14" fontId="11" fillId="0" borderId="1" xfId="0" applyNumberFormat="1" applyFont="1" applyFill="1" applyBorder="1" applyAlignment="1">
      <alignment horizontal="center" vertical="center"/>
    </xf>
    <xf numFmtId="0" fontId="30" fillId="0" borderId="1" xfId="0" applyFont="1" applyFill="1" applyBorder="1" applyAlignment="1">
      <alignment horizontal="left" vertical="center"/>
    </xf>
    <xf numFmtId="14" fontId="30" fillId="0" borderId="1" xfId="0" applyNumberFormat="1" applyFont="1" applyFill="1" applyBorder="1" applyAlignment="1">
      <alignment horizontal="center" vertical="center"/>
    </xf>
    <xf numFmtId="0" fontId="29" fillId="0" borderId="0" xfId="0" applyFont="1" applyFill="1">
      <alignment vertical="center"/>
    </xf>
    <xf numFmtId="49" fontId="4" fillId="6" borderId="1" xfId="0" applyNumberFormat="1" applyFont="1" applyFill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/>
    </xf>
    <xf numFmtId="14" fontId="8" fillId="6" borderId="1" xfId="0" applyNumberFormat="1" applyFont="1" applyFill="1" applyBorder="1" applyAlignment="1">
      <alignment horizontal="center" vertical="center" wrapText="1"/>
    </xf>
    <xf numFmtId="49" fontId="8" fillId="6" borderId="1" xfId="0" applyNumberFormat="1" applyFont="1" applyFill="1" applyBorder="1" applyAlignment="1">
      <alignment horizontal="center" vertical="center" wrapText="1"/>
    </xf>
    <xf numFmtId="0" fontId="2" fillId="6" borderId="1" xfId="0" applyNumberFormat="1" applyFont="1" applyFill="1" applyBorder="1" applyAlignment="1">
      <alignment horizontal="center" vertical="center"/>
    </xf>
    <xf numFmtId="49" fontId="2" fillId="6" borderId="0" xfId="0" applyNumberFormat="1" applyFont="1" applyFill="1">
      <alignment vertical="center"/>
    </xf>
    <xf numFmtId="0" fontId="5" fillId="0" borderId="1" xfId="0" applyNumberFormat="1" applyFont="1" applyFill="1" applyBorder="1" applyAlignment="1">
      <alignment horizontal="center" vertical="center" wrapText="1"/>
    </xf>
    <xf numFmtId="0" fontId="6" fillId="6" borderId="1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14" fontId="2" fillId="6" borderId="1" xfId="0" applyNumberFormat="1" applyFont="1" applyFill="1" applyBorder="1" applyAlignment="1">
      <alignment horizontal="center" vertical="center"/>
    </xf>
    <xf numFmtId="14" fontId="2" fillId="6" borderId="1" xfId="0" applyNumberFormat="1" applyFont="1" applyFill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 wrapText="1"/>
    </xf>
    <xf numFmtId="0" fontId="17" fillId="6" borderId="1" xfId="0" applyFont="1" applyFill="1" applyBorder="1" applyAlignment="1">
      <alignment horizontal="center" vertical="center"/>
    </xf>
    <xf numFmtId="0" fontId="11" fillId="6" borderId="1" xfId="0" applyNumberFormat="1" applyFont="1" applyFill="1" applyBorder="1" applyAlignment="1">
      <alignment horizontal="center" vertical="center" wrapText="1"/>
    </xf>
    <xf numFmtId="49" fontId="11" fillId="6" borderId="1" xfId="0" applyNumberFormat="1" applyFont="1" applyFill="1" applyBorder="1" applyAlignment="1">
      <alignment horizontal="center" vertical="center" wrapText="1"/>
    </xf>
    <xf numFmtId="177" fontId="11" fillId="6" borderId="1" xfId="0" applyNumberFormat="1" applyFont="1" applyFill="1" applyBorder="1" applyAlignment="1">
      <alignment horizontal="center" vertical="center" wrapText="1"/>
    </xf>
    <xf numFmtId="49" fontId="11" fillId="6" borderId="1" xfId="0" applyNumberFormat="1" applyFont="1" applyFill="1" applyBorder="1" applyAlignment="1">
      <alignment vertical="center" wrapText="1"/>
    </xf>
    <xf numFmtId="49" fontId="11" fillId="6" borderId="1" xfId="0" applyNumberFormat="1" applyFont="1" applyFill="1" applyBorder="1" applyAlignment="1">
      <alignment horizontal="center" vertical="center"/>
    </xf>
    <xf numFmtId="14" fontId="11" fillId="6" borderId="1" xfId="0" applyNumberFormat="1" applyFont="1" applyFill="1" applyBorder="1" applyAlignment="1">
      <alignment horizontal="center" vertical="center" wrapText="1"/>
    </xf>
    <xf numFmtId="0" fontId="5" fillId="6" borderId="1" xfId="0" applyNumberFormat="1" applyFont="1" applyFill="1" applyBorder="1" applyAlignment="1">
      <alignment horizontal="center" vertical="center" wrapText="1"/>
    </xf>
    <xf numFmtId="49" fontId="11" fillId="6" borderId="0" xfId="0" applyNumberFormat="1" applyFont="1" applyFill="1">
      <alignment vertical="center"/>
    </xf>
    <xf numFmtId="49" fontId="6" fillId="6" borderId="1" xfId="0" applyNumberFormat="1" applyFont="1" applyFill="1" applyBorder="1" applyAlignment="1">
      <alignment horizontal="center" vertical="center"/>
    </xf>
    <xf numFmtId="0" fontId="2" fillId="6" borderId="1" xfId="0" applyNumberFormat="1" applyFont="1" applyFill="1" applyBorder="1">
      <alignment vertical="center"/>
    </xf>
    <xf numFmtId="49" fontId="11" fillId="0" borderId="1" xfId="0" applyNumberFormat="1" applyFont="1" applyFill="1" applyBorder="1" applyAlignment="1">
      <alignment vertical="center"/>
    </xf>
    <xf numFmtId="49" fontId="11" fillId="0" borderId="1" xfId="0" quotePrefix="1" applyNumberFormat="1" applyFont="1" applyFill="1" applyBorder="1" applyAlignment="1">
      <alignment horizontal="center" vertical="center"/>
    </xf>
    <xf numFmtId="49" fontId="11" fillId="0" borderId="1" xfId="0" applyNumberFormat="1" applyFont="1" applyFill="1" applyBorder="1" applyAlignment="1">
      <alignment horizontal="left" vertical="center" wrapText="1"/>
    </xf>
    <xf numFmtId="49" fontId="11" fillId="0" borderId="1" xfId="0" quotePrefix="1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30" fillId="0" borderId="1" xfId="0" applyFont="1" applyFill="1" applyBorder="1" applyAlignment="1">
      <alignment horizontal="justify" vertical="center" wrapText="1"/>
    </xf>
    <xf numFmtId="0" fontId="11" fillId="0" borderId="1" xfId="0" applyNumberFormat="1" applyFont="1" applyFill="1" applyBorder="1">
      <alignment vertical="center"/>
    </xf>
    <xf numFmtId="0" fontId="11" fillId="6" borderId="1" xfId="0" applyNumberFormat="1" applyFont="1" applyFill="1" applyBorder="1" applyAlignment="1">
      <alignment horizontal="center" vertical="center"/>
    </xf>
    <xf numFmtId="49" fontId="11" fillId="6" borderId="1" xfId="0" applyNumberFormat="1" applyFont="1" applyFill="1" applyBorder="1">
      <alignment vertical="center"/>
    </xf>
    <xf numFmtId="14" fontId="11" fillId="6" borderId="1" xfId="0" applyNumberFormat="1" applyFont="1" applyFill="1" applyBorder="1" applyAlignment="1">
      <alignment horizontal="center" vertical="center"/>
    </xf>
    <xf numFmtId="14" fontId="34" fillId="0" borderId="1" xfId="0" applyNumberFormat="1" applyFont="1" applyFill="1" applyBorder="1" applyAlignment="1">
      <alignment horizontal="center" vertical="center"/>
    </xf>
    <xf numFmtId="0" fontId="20" fillId="0" borderId="1" xfId="0" applyNumberFormat="1" applyFont="1" applyFill="1" applyBorder="1" applyAlignment="1">
      <alignment horizontal="center" vertical="center"/>
    </xf>
    <xf numFmtId="0" fontId="11" fillId="4" borderId="1" xfId="0" applyNumberFormat="1" applyFont="1" applyFill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30" fillId="6" borderId="1" xfId="0" applyFont="1" applyFill="1" applyBorder="1" applyAlignment="1">
      <alignment horizontal="center" vertical="center"/>
    </xf>
    <xf numFmtId="0" fontId="30" fillId="6" borderId="1" xfId="0" applyFont="1" applyFill="1" applyBorder="1" applyAlignment="1">
      <alignment horizontal="justify" vertical="center"/>
    </xf>
    <xf numFmtId="0" fontId="36" fillId="6" borderId="0" xfId="0" applyFont="1" applyFill="1">
      <alignment vertical="center"/>
    </xf>
    <xf numFmtId="49" fontId="30" fillId="6" borderId="1" xfId="0" applyNumberFormat="1" applyFont="1" applyFill="1" applyBorder="1" applyAlignment="1">
      <alignment horizontal="center" vertical="center"/>
    </xf>
    <xf numFmtId="0" fontId="11" fillId="6" borderId="1" xfId="0" applyNumberFormat="1" applyFont="1" applyFill="1" applyBorder="1">
      <alignment vertical="center"/>
    </xf>
    <xf numFmtId="0" fontId="2" fillId="6" borderId="1" xfId="0" applyNumberFormat="1" applyFont="1" applyFill="1" applyBorder="1" applyAlignment="1">
      <alignment horizontal="center" vertical="center" wrapText="1"/>
    </xf>
    <xf numFmtId="49" fontId="30" fillId="6" borderId="1" xfId="0" applyNumberFormat="1" applyFont="1" applyFill="1" applyBorder="1" applyAlignment="1">
      <alignment vertical="center" wrapText="1"/>
    </xf>
    <xf numFmtId="0" fontId="30" fillId="6" borderId="1" xfId="0" applyNumberFormat="1" applyFont="1" applyFill="1" applyBorder="1" applyAlignment="1">
      <alignment horizontal="center" vertical="center"/>
    </xf>
    <xf numFmtId="49" fontId="11" fillId="6" borderId="1" xfId="0" applyNumberFormat="1" applyFont="1" applyFill="1" applyBorder="1" applyAlignment="1">
      <alignment horizontal="left" vertical="center" wrapText="1"/>
    </xf>
    <xf numFmtId="49" fontId="30" fillId="6" borderId="1" xfId="0" quotePrefix="1" applyNumberFormat="1" applyFont="1" applyFill="1" applyBorder="1" applyAlignment="1">
      <alignment horizontal="center" vertical="center" wrapText="1"/>
    </xf>
    <xf numFmtId="49" fontId="30" fillId="6" borderId="1" xfId="0" applyNumberFormat="1" applyFont="1" applyFill="1" applyBorder="1" applyAlignment="1">
      <alignment horizontal="center" vertical="center" wrapText="1"/>
    </xf>
    <xf numFmtId="0" fontId="33" fillId="6" borderId="0" xfId="0" applyFont="1" applyFill="1">
      <alignment vertical="center"/>
    </xf>
    <xf numFmtId="0" fontId="6" fillId="0" borderId="1" xfId="0" applyFont="1" applyFill="1" applyBorder="1" applyAlignment="1">
      <alignment horizontal="justify" vertical="center"/>
    </xf>
    <xf numFmtId="14" fontId="30" fillId="6" borderId="1" xfId="0" applyNumberFormat="1" applyFont="1" applyFill="1" applyBorder="1" applyAlignment="1">
      <alignment horizontal="center" vertical="center" wrapText="1"/>
    </xf>
    <xf numFmtId="14" fontId="30" fillId="6" borderId="1" xfId="0" applyNumberFormat="1" applyFont="1" applyFill="1" applyBorder="1" applyAlignment="1">
      <alignment horizontal="center" vertical="center"/>
    </xf>
    <xf numFmtId="0" fontId="30" fillId="6" borderId="1" xfId="0" applyNumberFormat="1" applyFont="1" applyFill="1" applyBorder="1" applyAlignment="1">
      <alignment horizontal="center" vertical="center" wrapText="1"/>
    </xf>
    <xf numFmtId="0" fontId="30" fillId="6" borderId="1" xfId="0" applyFont="1" applyFill="1" applyBorder="1" applyAlignment="1">
      <alignment horizontal="center" vertical="center" wrapText="1"/>
    </xf>
    <xf numFmtId="0" fontId="2" fillId="5" borderId="1" xfId="0" applyNumberFormat="1" applyFont="1" applyFill="1" applyBorder="1" applyAlignment="1">
      <alignment horizontal="center" vertical="center" wrapText="1"/>
    </xf>
    <xf numFmtId="49" fontId="2" fillId="5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14" fontId="2" fillId="5" borderId="1" xfId="0" applyNumberFormat="1" applyFont="1" applyFill="1" applyBorder="1" applyAlignment="1">
      <alignment horizontal="center" vertical="center"/>
    </xf>
    <xf numFmtId="14" fontId="2" fillId="5" borderId="1" xfId="0" applyNumberFormat="1" applyFont="1" applyFill="1" applyBorder="1" applyAlignment="1">
      <alignment horizontal="center" vertical="center" wrapText="1"/>
    </xf>
    <xf numFmtId="49" fontId="6" fillId="5" borderId="1" xfId="0" applyNumberFormat="1" applyFont="1" applyFill="1" applyBorder="1" applyAlignment="1">
      <alignment horizontal="center" vertical="center"/>
    </xf>
    <xf numFmtId="14" fontId="6" fillId="5" borderId="1" xfId="0" applyNumberFormat="1" applyFont="1" applyFill="1" applyBorder="1" applyAlignment="1">
      <alignment horizontal="center" vertical="center" wrapText="1"/>
    </xf>
    <xf numFmtId="14" fontId="6" fillId="5" borderId="1" xfId="0" applyNumberFormat="1" applyFont="1" applyFill="1" applyBorder="1" applyAlignment="1">
      <alignment horizontal="center" vertical="center"/>
    </xf>
    <xf numFmtId="0" fontId="4" fillId="5" borderId="1" xfId="0" applyNumberFormat="1" applyFont="1" applyFill="1" applyBorder="1" applyAlignment="1">
      <alignment horizontal="center" vertical="center" wrapText="1"/>
    </xf>
    <xf numFmtId="49" fontId="2" fillId="5" borderId="1" xfId="0" applyNumberFormat="1" applyFont="1" applyFill="1" applyBorder="1" applyAlignment="1">
      <alignment horizontal="center" vertical="center" wrapText="1"/>
    </xf>
    <xf numFmtId="0" fontId="2" fillId="5" borderId="1" xfId="0" applyNumberFormat="1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 wrapText="1"/>
    </xf>
    <xf numFmtId="14" fontId="4" fillId="5" borderId="1" xfId="0" applyNumberFormat="1" applyFont="1" applyFill="1" applyBorder="1" applyAlignment="1">
      <alignment horizontal="center" vertical="center" wrapText="1"/>
    </xf>
    <xf numFmtId="0" fontId="6" fillId="5" borderId="1" xfId="0" applyNumberFormat="1" applyFont="1" applyFill="1" applyBorder="1" applyAlignment="1">
      <alignment horizontal="center" vertical="center"/>
    </xf>
    <xf numFmtId="0" fontId="12" fillId="5" borderId="1" xfId="0" applyFont="1" applyFill="1" applyBorder="1">
      <alignment vertical="center"/>
    </xf>
    <xf numFmtId="0" fontId="11" fillId="5" borderId="1" xfId="0" applyNumberFormat="1" applyFont="1" applyFill="1" applyBorder="1" applyAlignment="1">
      <alignment horizontal="center" vertical="center" wrapText="1"/>
    </xf>
    <xf numFmtId="0" fontId="30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1" fillId="0" borderId="1" xfId="0" applyNumberFormat="1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49" fontId="11" fillId="0" borderId="1" xfId="0" applyNumberFormat="1" applyFont="1" applyBorder="1">
      <alignment vertical="center"/>
    </xf>
    <xf numFmtId="176" fontId="11" fillId="6" borderId="1" xfId="0" applyNumberFormat="1" applyFont="1" applyFill="1" applyBorder="1" applyAlignment="1">
      <alignment horizontal="center" vertical="center" wrapText="1"/>
    </xf>
    <xf numFmtId="176" fontId="11" fillId="6" borderId="1" xfId="0" applyNumberFormat="1" applyFont="1" applyFill="1" applyBorder="1" applyAlignment="1">
      <alignment horizontal="center" vertical="center"/>
    </xf>
    <xf numFmtId="49" fontId="11" fillId="6" borderId="1" xfId="0" applyNumberFormat="1" applyFont="1" applyFill="1" applyBorder="1" applyAlignment="1">
      <alignment horizontal="left" vertical="center"/>
    </xf>
    <xf numFmtId="0" fontId="5" fillId="6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/>
    </xf>
    <xf numFmtId="0" fontId="18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176" fontId="2" fillId="0" borderId="1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/>
    </xf>
    <xf numFmtId="0" fontId="18" fillId="0" borderId="1" xfId="0" applyNumberFormat="1" applyFont="1" applyFill="1" applyBorder="1" applyAlignment="1">
      <alignment horizontal="center" vertical="center"/>
    </xf>
    <xf numFmtId="176" fontId="4" fillId="5" borderId="1" xfId="0" applyNumberFormat="1" applyFont="1" applyFill="1" applyBorder="1" applyAlignment="1">
      <alignment horizontal="center" vertical="center" wrapText="1"/>
    </xf>
    <xf numFmtId="176" fontId="4" fillId="5" borderId="1" xfId="0" applyNumberFormat="1" applyFont="1" applyFill="1" applyBorder="1" applyAlignment="1">
      <alignment horizontal="center" vertical="center"/>
    </xf>
    <xf numFmtId="176" fontId="11" fillId="0" borderId="1" xfId="0" applyNumberFormat="1" applyFont="1" applyFill="1" applyBorder="1" applyAlignment="1">
      <alignment horizontal="center" vertical="center" wrapText="1"/>
    </xf>
    <xf numFmtId="176" fontId="11" fillId="0" borderId="1" xfId="0" applyNumberFormat="1" applyFont="1" applyFill="1" applyBorder="1" applyAlignment="1">
      <alignment horizontal="center" vertical="center"/>
    </xf>
    <xf numFmtId="49" fontId="11" fillId="0" borderId="1" xfId="0" applyNumberFormat="1" applyFont="1" applyFill="1" applyBorder="1" applyAlignment="1">
      <alignment horizontal="left" vertical="center"/>
    </xf>
    <xf numFmtId="0" fontId="0" fillId="0" borderId="1" xfId="0" applyFill="1" applyBorder="1" applyAlignment="1">
      <alignment vertical="center" wrapText="1"/>
    </xf>
    <xf numFmtId="176" fontId="6" fillId="0" borderId="1" xfId="0" applyNumberFormat="1" applyFont="1" applyFill="1" applyBorder="1" applyAlignment="1">
      <alignment horizontal="center" vertical="center"/>
    </xf>
    <xf numFmtId="176" fontId="20" fillId="0" borderId="1" xfId="0" applyNumberFormat="1" applyFont="1" applyFill="1" applyBorder="1" applyAlignment="1">
      <alignment horizontal="center" vertical="center"/>
    </xf>
    <xf numFmtId="176" fontId="34" fillId="0" borderId="1" xfId="0" applyNumberFormat="1" applyFont="1" applyFill="1" applyBorder="1" applyAlignment="1">
      <alignment horizontal="center" vertical="center"/>
    </xf>
    <xf numFmtId="49" fontId="34" fillId="0" borderId="1" xfId="0" applyNumberFormat="1" applyFont="1" applyFill="1" applyBorder="1">
      <alignment vertical="center"/>
    </xf>
    <xf numFmtId="49" fontId="34" fillId="0" borderId="1" xfId="0" applyNumberFormat="1" applyFont="1" applyFill="1" applyBorder="1" applyAlignment="1">
      <alignment vertical="center" wrapText="1"/>
    </xf>
    <xf numFmtId="49" fontId="34" fillId="0" borderId="1" xfId="0" applyNumberFormat="1" applyFont="1" applyFill="1" applyBorder="1" applyAlignment="1">
      <alignment horizontal="left" vertical="center"/>
    </xf>
    <xf numFmtId="176" fontId="2" fillId="5" borderId="1" xfId="0" applyNumberFormat="1" applyFont="1" applyFill="1" applyBorder="1" applyAlignment="1">
      <alignment horizontal="center" vertical="center"/>
    </xf>
    <xf numFmtId="176" fontId="6" fillId="5" borderId="1" xfId="0" applyNumberFormat="1" applyFont="1" applyFill="1" applyBorder="1" applyAlignment="1">
      <alignment horizontal="center" vertical="center"/>
    </xf>
    <xf numFmtId="176" fontId="6" fillId="6" borderId="1" xfId="0" applyNumberFormat="1" applyFont="1" applyFill="1" applyBorder="1" applyAlignment="1">
      <alignment horizontal="center" vertical="center"/>
    </xf>
    <xf numFmtId="0" fontId="12" fillId="6" borderId="1" xfId="0" applyNumberFormat="1" applyFont="1" applyFill="1" applyBorder="1" applyAlignment="1">
      <alignment horizontal="center" vertical="center"/>
    </xf>
    <xf numFmtId="176" fontId="12" fillId="0" borderId="1" xfId="0" applyNumberFormat="1" applyFont="1" applyFill="1" applyBorder="1" applyAlignment="1">
      <alignment horizontal="center" vertical="center"/>
    </xf>
    <xf numFmtId="176" fontId="30" fillId="0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33" fillId="0" borderId="1" xfId="0" applyFont="1" applyFill="1" applyBorder="1" applyAlignment="1">
      <alignment horizontal="center" vertical="center"/>
    </xf>
    <xf numFmtId="0" fontId="33" fillId="0" borderId="1" xfId="0" applyFont="1" applyFill="1" applyBorder="1">
      <alignment vertical="center"/>
    </xf>
    <xf numFmtId="0" fontId="30" fillId="6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5" fillId="0" borderId="1" xfId="0" applyFont="1" applyFill="1" applyBorder="1" applyAlignment="1">
      <alignment horizontal="center" vertical="center"/>
    </xf>
    <xf numFmtId="0" fontId="35" fillId="0" borderId="1" xfId="0" applyFont="1" applyFill="1" applyBorder="1">
      <alignment vertical="center"/>
    </xf>
    <xf numFmtId="0" fontId="36" fillId="6" borderId="1" xfId="0" applyFont="1" applyFill="1" applyBorder="1" applyAlignment="1">
      <alignment horizontal="center" vertical="center"/>
    </xf>
    <xf numFmtId="0" fontId="34" fillId="0" borderId="1" xfId="0" applyNumberFormat="1" applyFont="1" applyFill="1" applyBorder="1">
      <alignment vertical="center"/>
    </xf>
    <xf numFmtId="49" fontId="19" fillId="0" borderId="1" xfId="0" applyNumberFormat="1" applyFont="1" applyFill="1" applyBorder="1" applyAlignment="1">
      <alignment horizontal="center" vertical="center" wrapText="1"/>
    </xf>
    <xf numFmtId="0" fontId="29" fillId="0" borderId="1" xfId="0" applyFont="1" applyFill="1" applyBorder="1">
      <alignment vertical="center"/>
    </xf>
    <xf numFmtId="49" fontId="6" fillId="0" borderId="1" xfId="0" quotePrefix="1" applyNumberFormat="1" applyFont="1" applyFill="1" applyBorder="1" applyAlignment="1">
      <alignment horizontal="center" vertical="center" wrapText="1"/>
    </xf>
    <xf numFmtId="49" fontId="19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justify" vertical="center" wrapText="1"/>
    </xf>
    <xf numFmtId="0" fontId="33" fillId="6" borderId="1" xfId="0" applyFont="1" applyFill="1" applyBorder="1" applyAlignment="1">
      <alignment horizontal="center" vertical="center"/>
    </xf>
    <xf numFmtId="0" fontId="33" fillId="6" borderId="1" xfId="0" applyFont="1" applyFill="1" applyBorder="1">
      <alignment vertical="center"/>
    </xf>
    <xf numFmtId="0" fontId="8" fillId="0" borderId="1" xfId="0" applyFont="1" applyFill="1" applyBorder="1" applyAlignment="1">
      <alignment horizontal="left" vertical="center" wrapText="1"/>
    </xf>
    <xf numFmtId="49" fontId="22" fillId="0" borderId="1" xfId="0" applyNumberFormat="1" applyFont="1" applyFill="1" applyBorder="1" applyAlignment="1">
      <alignment horizontal="center" vertical="center"/>
    </xf>
    <xf numFmtId="49" fontId="19" fillId="5" borderId="1" xfId="0" applyNumberFormat="1" applyFont="1" applyFill="1" applyBorder="1" applyAlignment="1">
      <alignment horizontal="center" vertical="center" wrapText="1"/>
    </xf>
    <xf numFmtId="0" fontId="16" fillId="6" borderId="1" xfId="0" quotePrefix="1" applyFont="1" applyFill="1" applyBorder="1" applyAlignment="1">
      <alignment horizontal="center" vertical="center"/>
    </xf>
    <xf numFmtId="49" fontId="6" fillId="6" borderId="1" xfId="0" applyNumberFormat="1" applyFont="1" applyFill="1" applyBorder="1" applyAlignment="1">
      <alignment horizontal="center" vertical="center" wrapText="1"/>
    </xf>
    <xf numFmtId="49" fontId="22" fillId="6" borderId="1" xfId="0" applyNumberFormat="1" applyFont="1" applyFill="1" applyBorder="1" applyAlignment="1">
      <alignment horizontal="center" vertical="center"/>
    </xf>
    <xf numFmtId="49" fontId="20" fillId="0" borderId="1" xfId="0" applyNumberFormat="1" applyFont="1" applyFill="1" applyBorder="1" applyAlignment="1">
      <alignment horizontal="center" vertical="center" wrapText="1"/>
    </xf>
    <xf numFmtId="49" fontId="16" fillId="6" borderId="1" xfId="0" applyNumberFormat="1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20" fillId="0" borderId="1" xfId="0" applyNumberFormat="1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>
      <alignment vertical="center"/>
    </xf>
    <xf numFmtId="0" fontId="21" fillId="6" borderId="1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 wrapText="1"/>
    </xf>
    <xf numFmtId="49" fontId="16" fillId="0" borderId="1" xfId="0" applyNumberFormat="1" applyFont="1" applyFill="1" applyBorder="1" applyAlignment="1">
      <alignment horizontal="center" vertical="center"/>
    </xf>
    <xf numFmtId="49" fontId="22" fillId="5" borderId="1" xfId="0" applyNumberFormat="1" applyFont="1" applyFill="1" applyBorder="1" applyAlignment="1">
      <alignment horizontal="center" vertical="center"/>
    </xf>
    <xf numFmtId="49" fontId="16" fillId="6" borderId="1" xfId="0" applyNumberFormat="1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vertical="center" wrapText="1"/>
    </xf>
    <xf numFmtId="0" fontId="16" fillId="6" borderId="1" xfId="0" applyFont="1" applyFill="1" applyBorder="1" applyAlignment="1">
      <alignment horizontal="center" vertical="center" wrapText="1"/>
    </xf>
    <xf numFmtId="0" fontId="22" fillId="6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>
      <alignment vertical="center"/>
    </xf>
    <xf numFmtId="14" fontId="2" fillId="0" borderId="1" xfId="0" applyNumberFormat="1" applyFont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Fill="1" applyBorder="1">
      <alignment vertical="center"/>
    </xf>
    <xf numFmtId="0" fontId="10" fillId="0" borderId="1" xfId="0" applyNumberFormat="1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justify" vertical="center"/>
    </xf>
    <xf numFmtId="49" fontId="17" fillId="0" borderId="1" xfId="0" applyNumberFormat="1" applyFont="1" applyFill="1" applyBorder="1" applyAlignment="1">
      <alignment horizontal="center" vertical="center"/>
    </xf>
    <xf numFmtId="0" fontId="10" fillId="0" borderId="1" xfId="0" applyNumberFormat="1" applyFont="1" applyFill="1" applyBorder="1" applyAlignment="1">
      <alignment horizontal="center" vertical="center"/>
    </xf>
    <xf numFmtId="0" fontId="39" fillId="0" borderId="1" xfId="0" applyFont="1" applyFill="1" applyBorder="1" applyAlignment="1">
      <alignment horizontal="center" vertical="center"/>
    </xf>
    <xf numFmtId="49" fontId="10" fillId="0" borderId="1" xfId="0" applyNumberFormat="1" applyFont="1" applyFill="1" applyBorder="1">
      <alignment vertical="center"/>
    </xf>
    <xf numFmtId="49" fontId="10" fillId="0" borderId="1" xfId="0" applyNumberFormat="1" applyFont="1" applyFill="1" applyBorder="1" applyAlignment="1">
      <alignment horizontal="left" vertical="center"/>
    </xf>
    <xf numFmtId="0" fontId="39" fillId="0" borderId="1" xfId="0" applyFont="1" applyFill="1" applyBorder="1">
      <alignment vertical="center"/>
    </xf>
    <xf numFmtId="0" fontId="39" fillId="0" borderId="0" xfId="0" applyFont="1" applyFill="1">
      <alignment vertical="center"/>
    </xf>
    <xf numFmtId="49" fontId="10" fillId="0" borderId="1" xfId="0" applyNumberFormat="1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10" fillId="0" borderId="1" xfId="0" applyNumberFormat="1" applyFont="1" applyFill="1" applyBorder="1">
      <alignment vertical="center"/>
    </xf>
    <xf numFmtId="49" fontId="10" fillId="0" borderId="1" xfId="0" applyNumberFormat="1" applyFont="1" applyFill="1" applyBorder="1" applyAlignment="1">
      <alignment horizontal="left" vertical="center" wrapText="1"/>
    </xf>
    <xf numFmtId="49" fontId="10" fillId="0" borderId="1" xfId="0" applyNumberFormat="1" applyFont="1" applyFill="1" applyBorder="1" applyAlignment="1">
      <alignment horizontal="center" vertical="center" wrapText="1"/>
    </xf>
    <xf numFmtId="49" fontId="10" fillId="0" borderId="1" xfId="0" quotePrefix="1" applyNumberFormat="1" applyFont="1" applyFill="1" applyBorder="1" applyAlignment="1">
      <alignment horizontal="center" vertical="center" wrapText="1"/>
    </xf>
    <xf numFmtId="49" fontId="10" fillId="0" borderId="0" xfId="0" applyNumberFormat="1" applyFont="1" applyFill="1">
      <alignment vertical="center"/>
    </xf>
    <xf numFmtId="0" fontId="17" fillId="0" borderId="1" xfId="0" applyFont="1" applyFill="1" applyBorder="1">
      <alignment vertical="center"/>
    </xf>
    <xf numFmtId="0" fontId="17" fillId="0" borderId="0" xfId="0" applyFont="1" applyFill="1" applyAlignment="1">
      <alignment horizontal="center" vertical="center"/>
    </xf>
    <xf numFmtId="49" fontId="20" fillId="0" borderId="1" xfId="0" quotePrefix="1" applyNumberFormat="1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vertical="center"/>
    </xf>
    <xf numFmtId="0" fontId="41" fillId="0" borderId="1" xfId="0" applyNumberFormat="1" applyFont="1" applyFill="1" applyBorder="1" applyAlignment="1">
      <alignment horizontal="center" vertical="center" wrapText="1"/>
    </xf>
    <xf numFmtId="176" fontId="34" fillId="0" borderId="1" xfId="0" applyNumberFormat="1" applyFont="1" applyFill="1" applyBorder="1" applyAlignment="1">
      <alignment horizontal="center" vertical="center" wrapText="1"/>
    </xf>
    <xf numFmtId="49" fontId="15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>
      <alignment vertical="center"/>
    </xf>
    <xf numFmtId="0" fontId="8" fillId="0" borderId="1" xfId="0" applyFont="1" applyFill="1" applyBorder="1" applyAlignment="1">
      <alignment horizontal="center" vertical="center" wrapText="1"/>
    </xf>
    <xf numFmtId="0" fontId="38" fillId="0" borderId="1" xfId="0" applyFont="1" applyFill="1" applyBorder="1" applyAlignment="1">
      <alignment horizontal="center" vertical="center"/>
    </xf>
    <xf numFmtId="49" fontId="30" fillId="0" borderId="1" xfId="0" applyNumberFormat="1" applyFont="1" applyFill="1" applyBorder="1" applyAlignment="1">
      <alignment horizontal="left" vertical="center" wrapText="1"/>
    </xf>
    <xf numFmtId="14" fontId="10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49" fontId="42" fillId="0" borderId="1" xfId="0" applyNumberFormat="1" applyFont="1" applyBorder="1">
      <alignment vertical="center"/>
    </xf>
    <xf numFmtId="14" fontId="2" fillId="0" borderId="1" xfId="0" applyNumberFormat="1" applyFont="1" applyBorder="1" applyAlignment="1">
      <alignment horizontal="center" vertical="center" wrapText="1"/>
    </xf>
    <xf numFmtId="49" fontId="34" fillId="7" borderId="1" xfId="0" applyNumberFormat="1" applyFont="1" applyFill="1" applyBorder="1" applyAlignment="1">
      <alignment horizontal="center" vertical="center"/>
    </xf>
    <xf numFmtId="49" fontId="34" fillId="7" borderId="1" xfId="0" applyNumberFormat="1" applyFont="1" applyFill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center" vertical="center"/>
    </xf>
    <xf numFmtId="49" fontId="34" fillId="7" borderId="1" xfId="0" applyNumberFormat="1" applyFont="1" applyFill="1" applyBorder="1">
      <alignment vertical="center"/>
    </xf>
    <xf numFmtId="14" fontId="34" fillId="7" borderId="1" xfId="0" applyNumberFormat="1" applyFont="1" applyFill="1" applyBorder="1" applyAlignment="1">
      <alignment horizontal="center" vertical="center"/>
    </xf>
    <xf numFmtId="49" fontId="34" fillId="0" borderId="0" xfId="0" applyNumberFormat="1" applyFont="1">
      <alignment vertical="center"/>
    </xf>
    <xf numFmtId="49" fontId="34" fillId="0" borderId="1" xfId="0" applyNumberFormat="1" applyFont="1" applyBorder="1">
      <alignment vertical="center"/>
    </xf>
    <xf numFmtId="49" fontId="34" fillId="0" borderId="1" xfId="0" applyNumberFormat="1" applyFont="1" applyBorder="1" applyAlignment="1">
      <alignment horizontal="center" vertical="center"/>
    </xf>
    <xf numFmtId="49" fontId="34" fillId="0" borderId="1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14" fontId="34" fillId="0" borderId="1" xfId="0" applyNumberFormat="1" applyFont="1" applyBorder="1" applyAlignment="1">
      <alignment horizontal="center" vertical="center"/>
    </xf>
    <xf numFmtId="14" fontId="34" fillId="0" borderId="1" xfId="0" applyNumberFormat="1" applyFont="1" applyBorder="1" applyAlignment="1">
      <alignment horizontal="center" vertical="center" wrapText="1"/>
    </xf>
    <xf numFmtId="0" fontId="38" fillId="0" borderId="1" xfId="0" applyFont="1" applyFill="1" applyBorder="1" applyAlignment="1">
      <alignment horizontal="center" vertical="center" wrapText="1"/>
    </xf>
    <xf numFmtId="14" fontId="30" fillId="5" borderId="1" xfId="0" applyNumberFormat="1" applyFont="1" applyFill="1" applyBorder="1" applyAlignment="1">
      <alignment horizontal="center" vertical="center" wrapText="1"/>
    </xf>
    <xf numFmtId="0" fontId="30" fillId="5" borderId="1" xfId="0" applyFont="1" applyFill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vertical="center" wrapText="1"/>
    </xf>
    <xf numFmtId="0" fontId="0" fillId="0" borderId="1" xfId="0" applyFill="1" applyBorder="1" applyAlignment="1">
      <alignment horizontal="left" vertical="center" wrapText="1"/>
    </xf>
    <xf numFmtId="0" fontId="12" fillId="0" borderId="1" xfId="0" applyFont="1" applyFill="1" applyBorder="1" applyAlignment="1">
      <alignment horizontal="left" vertical="center" wrapText="1"/>
    </xf>
    <xf numFmtId="0" fontId="3" fillId="2" borderId="4" xfId="0" applyNumberFormat="1" applyFont="1" applyFill="1" applyBorder="1" applyAlignment="1">
      <alignment horizontal="center" vertical="center" wrapText="1"/>
    </xf>
    <xf numFmtId="0" fontId="38" fillId="2" borderId="1" xfId="0" applyFont="1" applyFill="1" applyBorder="1" applyAlignment="1">
      <alignment horizontal="center" vertical="center"/>
    </xf>
    <xf numFmtId="0" fontId="38" fillId="2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3" fillId="0" borderId="1" xfId="0" applyFont="1" applyFill="1" applyBorder="1" applyAlignment="1">
      <alignment vertical="center" wrapText="1"/>
    </xf>
    <xf numFmtId="0" fontId="29" fillId="0" borderId="1" xfId="0" applyFont="1" applyFill="1" applyBorder="1" applyAlignment="1">
      <alignment vertical="center" wrapText="1"/>
    </xf>
    <xf numFmtId="0" fontId="11" fillId="0" borderId="1" xfId="0" applyNumberFormat="1" applyFont="1" applyFill="1" applyBorder="1" applyAlignment="1">
      <alignment vertical="center" wrapText="1"/>
    </xf>
    <xf numFmtId="0" fontId="30" fillId="0" borderId="1" xfId="0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vertical="center" wrapText="1"/>
    </xf>
    <xf numFmtId="49" fontId="2" fillId="0" borderId="0" xfId="0" applyNumberFormat="1" applyFont="1" applyFill="1" applyBorder="1" applyAlignment="1">
      <alignment horizontal="left" vertical="center"/>
    </xf>
    <xf numFmtId="49" fontId="11" fillId="0" borderId="0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34" fillId="7" borderId="1" xfId="0" applyFont="1" applyFill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/>
    </xf>
    <xf numFmtId="0" fontId="11" fillId="0" borderId="3" xfId="0" applyNumberFormat="1" applyFont="1" applyFill="1" applyBorder="1" applyAlignment="1">
      <alignment horizontal="center" vertical="center" wrapText="1"/>
    </xf>
    <xf numFmtId="49" fontId="2" fillId="0" borderId="3" xfId="0" applyNumberFormat="1" applyFont="1" applyFill="1" applyBorder="1" applyAlignment="1">
      <alignment horizontal="center" vertical="center" wrapText="1"/>
    </xf>
    <xf numFmtId="176" fontId="11" fillId="0" borderId="5" xfId="0" applyNumberFormat="1" applyFont="1" applyFill="1" applyBorder="1" applyAlignment="1">
      <alignment horizontal="center" vertical="center"/>
    </xf>
    <xf numFmtId="176" fontId="6" fillId="0" borderId="5" xfId="0" applyNumberFormat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/>
    </xf>
    <xf numFmtId="0" fontId="30" fillId="6" borderId="4" xfId="0" applyFont="1" applyFill="1" applyBorder="1" applyAlignment="1">
      <alignment horizontal="center" vertical="center"/>
    </xf>
    <xf numFmtId="49" fontId="2" fillId="0" borderId="4" xfId="0" applyNumberFormat="1" applyFont="1" applyFill="1" applyBorder="1" applyAlignment="1">
      <alignment horizontal="center" vertical="center"/>
    </xf>
    <xf numFmtId="0" fontId="6" fillId="0" borderId="4" xfId="0" applyNumberFormat="1" applyFont="1" applyFill="1" applyBorder="1" applyAlignment="1">
      <alignment horizontal="center" vertical="center"/>
    </xf>
    <xf numFmtId="0" fontId="30" fillId="0" borderId="4" xfId="0" applyFont="1" applyFill="1" applyBorder="1" applyAlignment="1">
      <alignment horizontal="center" vertical="center"/>
    </xf>
    <xf numFmtId="49" fontId="2" fillId="6" borderId="3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Fill="1" applyBorder="1" applyAlignment="1">
      <alignment horizontal="center" vertical="center"/>
    </xf>
    <xf numFmtId="0" fontId="4" fillId="5" borderId="3" xfId="0" applyNumberFormat="1" applyFont="1" applyFill="1" applyBorder="1" applyAlignment="1">
      <alignment horizontal="center" vertical="center" wrapText="1"/>
    </xf>
    <xf numFmtId="176" fontId="12" fillId="6" borderId="5" xfId="0" applyNumberFormat="1" applyFont="1" applyFill="1" applyBorder="1" applyAlignment="1">
      <alignment horizontal="center" vertical="center"/>
    </xf>
    <xf numFmtId="176" fontId="2" fillId="0" borderId="5" xfId="0" applyNumberFormat="1" applyFont="1" applyFill="1" applyBorder="1" applyAlignment="1">
      <alignment horizontal="center" vertical="center"/>
    </xf>
    <xf numFmtId="176" fontId="6" fillId="5" borderId="5" xfId="0" applyNumberFormat="1" applyFont="1" applyFill="1" applyBorder="1" applyAlignment="1">
      <alignment horizontal="center" vertical="center"/>
    </xf>
    <xf numFmtId="0" fontId="5" fillId="6" borderId="2" xfId="0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0" fontId="6" fillId="5" borderId="2" xfId="0" applyNumberFormat="1" applyFont="1" applyFill="1" applyBorder="1" applyAlignment="1">
      <alignment horizontal="center" vertical="center"/>
    </xf>
    <xf numFmtId="0" fontId="33" fillId="6" borderId="1" xfId="0" applyFont="1" applyFill="1" applyBorder="1" applyAlignment="1">
      <alignment horizontal="center" vertical="center" wrapText="1"/>
    </xf>
    <xf numFmtId="0" fontId="36" fillId="0" borderId="0" xfId="0" applyFont="1" applyFill="1">
      <alignment vertical="center"/>
    </xf>
    <xf numFmtId="0" fontId="36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 wrapText="1"/>
    </xf>
    <xf numFmtId="0" fontId="30" fillId="0" borderId="1" xfId="0" quotePrefix="1" applyFont="1" applyFill="1" applyBorder="1" applyAlignment="1">
      <alignment horizontal="center" vertical="center"/>
    </xf>
    <xf numFmtId="0" fontId="11" fillId="0" borderId="0" xfId="0" applyNumberFormat="1" applyFont="1" applyFill="1">
      <alignment vertical="center"/>
    </xf>
    <xf numFmtId="0" fontId="35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 wrapText="1"/>
    </xf>
    <xf numFmtId="0" fontId="20" fillId="0" borderId="0" xfId="0" applyFont="1" applyFill="1" applyAlignment="1">
      <alignment horizontal="center" vertical="center"/>
    </xf>
    <xf numFmtId="49" fontId="30" fillId="0" borderId="1" xfId="0" applyNumberFormat="1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0" fontId="34" fillId="0" borderId="1" xfId="0" applyFont="1" applyFill="1" applyBorder="1" applyAlignment="1">
      <alignment horizontal="center" vertical="center" wrapText="1"/>
    </xf>
    <xf numFmtId="176" fontId="31" fillId="0" borderId="1" xfId="0" applyNumberFormat="1" applyFont="1" applyFill="1" applyBorder="1" applyAlignment="1">
      <alignment horizontal="center" vertical="center"/>
    </xf>
    <xf numFmtId="0" fontId="31" fillId="0" borderId="1" xfId="0" applyNumberFormat="1" applyFont="1" applyFill="1" applyBorder="1" applyAlignment="1">
      <alignment horizontal="center" vertical="center"/>
    </xf>
    <xf numFmtId="14" fontId="31" fillId="0" borderId="1" xfId="0" applyNumberFormat="1" applyFont="1" applyFill="1" applyBorder="1" applyAlignment="1">
      <alignment horizontal="center" vertical="center"/>
    </xf>
    <xf numFmtId="0" fontId="36" fillId="0" borderId="1" xfId="0" applyFont="1" applyFill="1" applyBorder="1" applyAlignment="1">
      <alignment horizontal="center" vertical="center"/>
    </xf>
    <xf numFmtId="0" fontId="31" fillId="0" borderId="2" xfId="0" applyFont="1" applyFill="1" applyBorder="1" applyAlignment="1">
      <alignment horizontal="center" vertical="center"/>
    </xf>
    <xf numFmtId="49" fontId="11" fillId="0" borderId="0" xfId="0" applyNumberFormat="1" applyFont="1">
      <alignment vertical="center"/>
    </xf>
    <xf numFmtId="0" fontId="20" fillId="0" borderId="0" xfId="0" applyFont="1" applyFill="1">
      <alignment vertical="center"/>
    </xf>
    <xf numFmtId="49" fontId="2" fillId="0" borderId="0" xfId="0" applyNumberFormat="1" applyFont="1" applyFill="1" applyBorder="1" applyAlignment="1">
      <alignment horizontal="left" vertical="center" wrapText="1"/>
    </xf>
    <xf numFmtId="0" fontId="43" fillId="0" borderId="1" xfId="0" applyNumberFormat="1" applyFont="1" applyFill="1" applyBorder="1" applyAlignment="1">
      <alignment horizontal="center" vertical="center" wrapText="1"/>
    </xf>
    <xf numFmtId="0" fontId="44" fillId="0" borderId="1" xfId="0" applyNumberFormat="1" applyFont="1" applyFill="1" applyBorder="1" applyAlignment="1">
      <alignment horizontal="center" vertical="center" wrapText="1"/>
    </xf>
    <xf numFmtId="0" fontId="44" fillId="6" borderId="1" xfId="0" applyNumberFormat="1" applyFont="1" applyFill="1" applyBorder="1" applyAlignment="1">
      <alignment horizontal="center" vertical="center" wrapText="1"/>
    </xf>
    <xf numFmtId="0" fontId="43" fillId="6" borderId="1" xfId="0" applyNumberFormat="1" applyFont="1" applyFill="1" applyBorder="1" applyAlignment="1">
      <alignment horizontal="center" vertical="center" wrapText="1"/>
    </xf>
    <xf numFmtId="0" fontId="45" fillId="0" borderId="1" xfId="0" applyFont="1" applyFill="1" applyBorder="1" applyAlignment="1">
      <alignment horizontal="center" vertical="center" wrapText="1"/>
    </xf>
  </cellXfs>
  <cellStyles count="3">
    <cellStyle name="표준" xfId="0" builtinId="0"/>
    <cellStyle name="표준 2" xfId="2" xr:uid="{1BF0F1C9-EAA6-4A37-89A0-C4D8CE1C2822}"/>
    <cellStyle name="표준 3" xfId="1" xr:uid="{365B204A-1D2C-486A-AC7F-20E8637D7C06}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000FF"/>
      <color rgb="FFFFFFCC"/>
      <color rgb="FFFF00FF"/>
      <color rgb="FFCCECFF"/>
      <color rgb="FF66CC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K285"/>
  <sheetViews>
    <sheetView tabSelected="1" zoomScale="85" zoomScaleNormal="85" zoomScaleSheetLayoutView="70" workbookViewId="0">
      <pane ySplit="1" topLeftCell="A261" activePane="bottomLeft" state="frozen"/>
      <selection pane="bottomLeft" activeCell="AG3" sqref="AG3"/>
    </sheetView>
  </sheetViews>
  <sheetFormatPr defaultColWidth="9" defaultRowHeight="15.6"/>
  <cols>
    <col min="1" max="1" width="10.09765625" style="1" bestFit="1" customWidth="1"/>
    <col min="2" max="2" width="44.8984375" style="10" customWidth="1"/>
    <col min="3" max="3" width="16" style="10" hidden="1" customWidth="1"/>
    <col min="4" max="4" width="14.8984375" style="1" hidden="1" customWidth="1"/>
    <col min="5" max="5" width="26.3984375" style="10" hidden="1" customWidth="1"/>
    <col min="6" max="6" width="13" style="10" hidden="1" customWidth="1"/>
    <col min="7" max="7" width="22.8984375" style="10" hidden="1" customWidth="1"/>
    <col min="8" max="8" width="22.19921875" style="10" customWidth="1"/>
    <col min="9" max="9" width="14.3984375" style="10" hidden="1" customWidth="1"/>
    <col min="10" max="10" width="14.19921875" style="10" hidden="1" customWidth="1"/>
    <col min="11" max="11" width="37" style="9" customWidth="1"/>
    <col min="12" max="13" width="8.19921875" style="10" hidden="1" customWidth="1"/>
    <col min="14" max="14" width="12.8984375" style="40" hidden="1" customWidth="1"/>
    <col min="15" max="15" width="14" style="40" hidden="1" customWidth="1"/>
    <col min="16" max="16" width="14" style="10" hidden="1" customWidth="1"/>
    <col min="17" max="17" width="10.69921875" style="1" hidden="1" customWidth="1"/>
    <col min="18" max="18" width="15.5" style="1" hidden="1" customWidth="1"/>
    <col min="19" max="19" width="15.09765625" style="1" hidden="1" customWidth="1"/>
    <col min="20" max="20" width="11.69921875" style="10" hidden="1" customWidth="1"/>
    <col min="21" max="21" width="8.09765625" style="35" hidden="1" customWidth="1"/>
    <col min="22" max="22" width="59.8984375" style="1" hidden="1" customWidth="1"/>
    <col min="23" max="23" width="26.09765625" style="19" hidden="1" customWidth="1"/>
    <col min="24" max="24" width="14.19921875" style="46" customWidth="1"/>
    <col min="25" max="25" width="27.59765625" style="19" customWidth="1"/>
    <col min="26" max="26" width="13.59765625" style="46" customWidth="1"/>
    <col min="27" max="27" width="21.59765625" style="46" bestFit="1" customWidth="1"/>
    <col min="28" max="28" width="20.3984375" style="46" bestFit="1" customWidth="1"/>
    <col min="29" max="29" width="24.296875" style="46" customWidth="1"/>
    <col min="30" max="30" width="11.69921875" style="46" bestFit="1" customWidth="1"/>
    <col min="31" max="31" width="11.69921875" style="46" customWidth="1"/>
    <col min="32" max="32" width="60.09765625" style="19" customWidth="1"/>
    <col min="33" max="33" width="70.69921875" style="19" customWidth="1"/>
    <col min="34" max="16384" width="9" style="4"/>
  </cols>
  <sheetData>
    <row r="1" spans="1:89" ht="31.2">
      <c r="A1" s="29" t="s">
        <v>1315</v>
      </c>
      <c r="B1" s="2" t="s">
        <v>43</v>
      </c>
      <c r="C1" s="2" t="s">
        <v>324</v>
      </c>
      <c r="D1" s="29" t="s">
        <v>148</v>
      </c>
      <c r="E1" s="2" t="s">
        <v>0</v>
      </c>
      <c r="F1" s="31" t="s">
        <v>66</v>
      </c>
      <c r="G1" s="31" t="s">
        <v>440</v>
      </c>
      <c r="H1" s="2" t="s">
        <v>403</v>
      </c>
      <c r="I1" s="2" t="s">
        <v>560</v>
      </c>
      <c r="J1" s="2" t="s">
        <v>563</v>
      </c>
      <c r="K1" s="31" t="s">
        <v>1104</v>
      </c>
      <c r="L1" s="2" t="s">
        <v>1</v>
      </c>
      <c r="M1" s="2" t="s">
        <v>2</v>
      </c>
      <c r="N1" s="41" t="s">
        <v>1329</v>
      </c>
      <c r="O1" s="41" t="s">
        <v>126</v>
      </c>
      <c r="P1" s="2" t="s">
        <v>1105</v>
      </c>
      <c r="Q1" s="29" t="s">
        <v>65</v>
      </c>
      <c r="R1" s="37" t="s">
        <v>3</v>
      </c>
      <c r="S1" s="43" t="s">
        <v>70</v>
      </c>
      <c r="T1" s="44" t="s">
        <v>147</v>
      </c>
      <c r="U1" s="45" t="s">
        <v>312</v>
      </c>
      <c r="V1" s="36" t="s">
        <v>41</v>
      </c>
      <c r="W1" s="37" t="s">
        <v>1476</v>
      </c>
      <c r="X1" s="37" t="s">
        <v>1477</v>
      </c>
      <c r="Y1" s="37" t="s">
        <v>1478</v>
      </c>
      <c r="Z1" s="354" t="s">
        <v>2196</v>
      </c>
      <c r="AA1" s="355" t="s">
        <v>1913</v>
      </c>
      <c r="AB1" s="355" t="s">
        <v>1914</v>
      </c>
      <c r="AC1" s="355" t="s">
        <v>1915</v>
      </c>
      <c r="AD1" s="355" t="s">
        <v>1916</v>
      </c>
      <c r="AE1" s="356" t="s">
        <v>2148</v>
      </c>
      <c r="AF1" s="37" t="s">
        <v>2312</v>
      </c>
      <c r="AG1" s="37" t="s">
        <v>2318</v>
      </c>
    </row>
    <row r="2" spans="1:89" s="49" customFormat="1" ht="62.4">
      <c r="A2" s="167">
        <v>1</v>
      </c>
      <c r="B2" s="168" t="s">
        <v>168</v>
      </c>
      <c r="C2" s="6" t="s">
        <v>379</v>
      </c>
      <c r="D2" s="11" t="s">
        <v>111</v>
      </c>
      <c r="E2" s="6" t="s">
        <v>4</v>
      </c>
      <c r="F2" s="3" t="s">
        <v>145</v>
      </c>
      <c r="G2" s="3" t="s">
        <v>441</v>
      </c>
      <c r="H2" s="168" t="s">
        <v>398</v>
      </c>
      <c r="I2" s="38" t="str">
        <f t="shared" ref="I2:I17" si="0">LEFT(K2,2)</f>
        <v>경기</v>
      </c>
      <c r="J2" s="38" t="s">
        <v>565</v>
      </c>
      <c r="K2" s="169" t="s">
        <v>39</v>
      </c>
      <c r="L2" s="168" t="s">
        <v>167</v>
      </c>
      <c r="M2" s="168" t="s">
        <v>5</v>
      </c>
      <c r="N2" s="23">
        <v>38553</v>
      </c>
      <c r="O2" s="23">
        <v>38461</v>
      </c>
      <c r="P2" s="23" t="s">
        <v>1233</v>
      </c>
      <c r="Q2" s="170" t="s">
        <v>114</v>
      </c>
      <c r="R2" s="207" t="s">
        <v>40</v>
      </c>
      <c r="S2" s="208"/>
      <c r="T2" s="6" t="s">
        <v>68</v>
      </c>
      <c r="U2" s="209">
        <v>1</v>
      </c>
      <c r="V2" s="210"/>
      <c r="W2" s="211"/>
      <c r="X2" s="211" t="s">
        <v>1482</v>
      </c>
      <c r="Y2" s="212"/>
      <c r="Z2" s="211" t="s">
        <v>2150</v>
      </c>
      <c r="AA2" s="392" t="s">
        <v>1769</v>
      </c>
      <c r="AB2" s="393" t="s">
        <v>1768</v>
      </c>
      <c r="AC2" s="393" t="s">
        <v>1917</v>
      </c>
      <c r="AD2" s="393" t="s">
        <v>1918</v>
      </c>
      <c r="AE2" s="393"/>
      <c r="AF2" s="350" t="s">
        <v>2319</v>
      </c>
      <c r="AG2" s="169" t="s">
        <v>2313</v>
      </c>
    </row>
    <row r="3" spans="1:89" s="151" customFormat="1" ht="109.2">
      <c r="A3" s="74">
        <f t="shared" ref="A3:A66" si="1">A2+1</f>
        <v>2</v>
      </c>
      <c r="B3" s="123" t="s">
        <v>2190</v>
      </c>
      <c r="C3" s="7" t="s">
        <v>337</v>
      </c>
      <c r="D3" s="14" t="s">
        <v>143</v>
      </c>
      <c r="E3" s="7" t="s">
        <v>4</v>
      </c>
      <c r="F3" s="16" t="s">
        <v>136</v>
      </c>
      <c r="G3" s="16" t="s">
        <v>441</v>
      </c>
      <c r="H3" s="118" t="s">
        <v>435</v>
      </c>
      <c r="I3" s="51" t="str">
        <f t="shared" si="0"/>
        <v>부산</v>
      </c>
      <c r="J3" s="51" t="s">
        <v>564</v>
      </c>
      <c r="K3" s="154" t="s">
        <v>61</v>
      </c>
      <c r="L3" s="123" t="s">
        <v>191</v>
      </c>
      <c r="M3" s="123" t="s">
        <v>57</v>
      </c>
      <c r="N3" s="24">
        <v>43679</v>
      </c>
      <c r="O3" s="24" t="s">
        <v>791</v>
      </c>
      <c r="P3" s="24" t="s">
        <v>1235</v>
      </c>
      <c r="Q3" s="121" t="s">
        <v>77</v>
      </c>
      <c r="R3" s="121" t="s">
        <v>40</v>
      </c>
      <c r="S3" s="30" t="s">
        <v>1237</v>
      </c>
      <c r="T3" s="7" t="s">
        <v>54</v>
      </c>
      <c r="U3" s="225">
        <v>3</v>
      </c>
      <c r="V3" s="228" t="s">
        <v>1344</v>
      </c>
      <c r="W3" s="123"/>
      <c r="X3" s="48" t="s">
        <v>1482</v>
      </c>
      <c r="Y3" s="125"/>
      <c r="Z3" s="123" t="s">
        <v>2151</v>
      </c>
      <c r="AA3" s="392" t="s">
        <v>1933</v>
      </c>
      <c r="AB3" s="393" t="s">
        <v>1766</v>
      </c>
      <c r="AC3" s="393"/>
      <c r="AD3" s="393"/>
      <c r="AE3" s="393"/>
      <c r="AF3" s="156" t="s">
        <v>2424</v>
      </c>
      <c r="AG3" s="161" t="s">
        <v>2325</v>
      </c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49"/>
      <c r="BU3" s="49"/>
      <c r="BV3" s="49"/>
      <c r="BW3" s="49"/>
      <c r="BX3" s="49"/>
      <c r="BY3" s="49"/>
      <c r="BZ3" s="49"/>
      <c r="CA3" s="49"/>
      <c r="CB3" s="49"/>
      <c r="CC3" s="49"/>
      <c r="CD3" s="49"/>
      <c r="CE3" s="49"/>
      <c r="CF3" s="49"/>
      <c r="CG3" s="49"/>
      <c r="CH3" s="49"/>
      <c r="CI3" s="49"/>
      <c r="CJ3" s="49"/>
      <c r="CK3" s="49"/>
    </row>
    <row r="4" spans="1:89" s="151" customFormat="1" ht="17.399999999999999">
      <c r="A4" s="30">
        <f t="shared" si="1"/>
        <v>3</v>
      </c>
      <c r="B4" s="13" t="s">
        <v>2156</v>
      </c>
      <c r="C4" s="13" t="s">
        <v>385</v>
      </c>
      <c r="D4" s="30" t="s">
        <v>143</v>
      </c>
      <c r="E4" s="13" t="s">
        <v>4</v>
      </c>
      <c r="F4" s="16" t="s">
        <v>146</v>
      </c>
      <c r="G4" s="16" t="s">
        <v>442</v>
      </c>
      <c r="H4" s="7" t="s">
        <v>1392</v>
      </c>
      <c r="I4" s="51" t="str">
        <f t="shared" si="0"/>
        <v>인천</v>
      </c>
      <c r="J4" s="51" t="s">
        <v>571</v>
      </c>
      <c r="K4" s="32" t="s">
        <v>120</v>
      </c>
      <c r="L4" s="17" t="s">
        <v>194</v>
      </c>
      <c r="M4" s="13" t="s">
        <v>6</v>
      </c>
      <c r="N4" s="325">
        <v>43787</v>
      </c>
      <c r="O4" s="325">
        <v>43656</v>
      </c>
      <c r="P4" s="325" t="s">
        <v>1233</v>
      </c>
      <c r="Q4" s="14" t="s">
        <v>77</v>
      </c>
      <c r="R4" s="14" t="s">
        <v>9</v>
      </c>
      <c r="S4" s="30" t="s">
        <v>1237</v>
      </c>
      <c r="T4" s="7" t="s">
        <v>67</v>
      </c>
      <c r="U4" s="225">
        <v>1</v>
      </c>
      <c r="V4" s="14"/>
      <c r="W4" s="7"/>
      <c r="X4" s="7" t="s">
        <v>1482</v>
      </c>
      <c r="Y4" s="7"/>
      <c r="Z4" s="7" t="s">
        <v>2151</v>
      </c>
      <c r="AA4" s="47" t="s">
        <v>1934</v>
      </c>
      <c r="AB4" s="47" t="s">
        <v>1935</v>
      </c>
      <c r="AC4" s="47"/>
      <c r="AD4" s="47"/>
      <c r="AE4" s="47"/>
      <c r="AF4" s="8" t="s">
        <v>2218</v>
      </c>
      <c r="AG4" s="88" t="s">
        <v>1872</v>
      </c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</row>
    <row r="5" spans="1:89" ht="17.399999999999999">
      <c r="A5" s="296">
        <f t="shared" si="1"/>
        <v>4</v>
      </c>
      <c r="B5" s="309" t="s">
        <v>284</v>
      </c>
      <c r="C5" s="90" t="s">
        <v>342</v>
      </c>
      <c r="D5" s="65" t="s">
        <v>143</v>
      </c>
      <c r="E5" s="90" t="s">
        <v>53</v>
      </c>
      <c r="F5" s="89" t="s">
        <v>145</v>
      </c>
      <c r="G5" s="89" t="s">
        <v>441</v>
      </c>
      <c r="H5" s="305" t="s">
        <v>402</v>
      </c>
      <c r="I5" s="66" t="str">
        <f t="shared" si="0"/>
        <v>광주</v>
      </c>
      <c r="J5" s="66" t="s">
        <v>568</v>
      </c>
      <c r="K5" s="308" t="s">
        <v>73</v>
      </c>
      <c r="L5" s="310" t="s">
        <v>158</v>
      </c>
      <c r="M5" s="309" t="s">
        <v>134</v>
      </c>
      <c r="N5" s="93">
        <v>43941</v>
      </c>
      <c r="O5" s="93" t="s">
        <v>162</v>
      </c>
      <c r="P5" s="90" t="s">
        <v>1233</v>
      </c>
      <c r="Q5" s="299" t="s">
        <v>77</v>
      </c>
      <c r="R5" s="299" t="s">
        <v>9</v>
      </c>
      <c r="S5" s="65" t="s">
        <v>1237</v>
      </c>
      <c r="T5" s="89" t="s">
        <v>67</v>
      </c>
      <c r="U5" s="237">
        <v>1</v>
      </c>
      <c r="V5" s="85"/>
      <c r="W5" s="305"/>
      <c r="X5" s="305" t="s">
        <v>1482</v>
      </c>
      <c r="Y5" s="301"/>
      <c r="Z5" s="305" t="s">
        <v>2150</v>
      </c>
      <c r="AA5" s="47" t="s">
        <v>1765</v>
      </c>
      <c r="AB5" s="47" t="s">
        <v>1764</v>
      </c>
      <c r="AC5" s="47" t="s">
        <v>1938</v>
      </c>
      <c r="AD5" s="47" t="s">
        <v>1918</v>
      </c>
      <c r="AE5" s="47"/>
      <c r="AF5" s="302" t="s">
        <v>2223</v>
      </c>
      <c r="AG5" s="302"/>
    </row>
    <row r="6" spans="1:89" s="77" customFormat="1" ht="34.799999999999997">
      <c r="A6" s="94">
        <f t="shared" si="1"/>
        <v>5</v>
      </c>
      <c r="B6" s="16" t="s">
        <v>2193</v>
      </c>
      <c r="C6" s="16" t="s">
        <v>1120</v>
      </c>
      <c r="D6" s="94" t="s">
        <v>143</v>
      </c>
      <c r="E6" s="16" t="s">
        <v>4</v>
      </c>
      <c r="F6" s="16" t="s">
        <v>142</v>
      </c>
      <c r="G6" s="16" t="s">
        <v>441</v>
      </c>
      <c r="H6" s="16" t="s">
        <v>17</v>
      </c>
      <c r="I6" s="104" t="str">
        <f t="shared" si="0"/>
        <v>경남</v>
      </c>
      <c r="J6" s="104" t="s">
        <v>564</v>
      </c>
      <c r="K6" s="92" t="s">
        <v>27</v>
      </c>
      <c r="L6" s="16" t="s">
        <v>176</v>
      </c>
      <c r="M6" s="16" t="s">
        <v>18</v>
      </c>
      <c r="N6" s="24">
        <v>42772</v>
      </c>
      <c r="O6" s="24" t="s">
        <v>1016</v>
      </c>
      <c r="P6" s="24" t="s">
        <v>1233</v>
      </c>
      <c r="Q6" s="94" t="s">
        <v>77</v>
      </c>
      <c r="R6" s="94" t="s">
        <v>1015</v>
      </c>
      <c r="S6" s="224" t="s">
        <v>1014</v>
      </c>
      <c r="T6" s="16">
        <v>700</v>
      </c>
      <c r="U6" s="225">
        <v>2</v>
      </c>
      <c r="V6" s="226" t="s">
        <v>1340</v>
      </c>
      <c r="W6" s="227"/>
      <c r="X6" s="22" t="s">
        <v>1482</v>
      </c>
      <c r="Y6" s="227"/>
      <c r="Z6" s="227" t="s">
        <v>2151</v>
      </c>
      <c r="AA6" s="47" t="s">
        <v>1763</v>
      </c>
      <c r="AB6" s="357" t="s">
        <v>2197</v>
      </c>
      <c r="AC6" s="47" t="s">
        <v>1924</v>
      </c>
      <c r="AD6" s="47" t="s">
        <v>1920</v>
      </c>
      <c r="AE6" s="47"/>
      <c r="AF6" s="101" t="s">
        <v>2200</v>
      </c>
      <c r="AG6" s="33" t="s">
        <v>1483</v>
      </c>
    </row>
    <row r="7" spans="1:89" s="54" customFormat="1" ht="34.799999999999997">
      <c r="A7" s="30">
        <f t="shared" si="1"/>
        <v>6</v>
      </c>
      <c r="B7" s="13" t="s">
        <v>2506</v>
      </c>
      <c r="C7" s="13" t="s">
        <v>381</v>
      </c>
      <c r="D7" s="30" t="s">
        <v>143</v>
      </c>
      <c r="E7" s="13" t="s">
        <v>4</v>
      </c>
      <c r="F7" s="16" t="s">
        <v>136</v>
      </c>
      <c r="G7" s="16" t="s">
        <v>441</v>
      </c>
      <c r="H7" s="13" t="s">
        <v>14</v>
      </c>
      <c r="I7" s="51" t="str">
        <f t="shared" si="0"/>
        <v>광주</v>
      </c>
      <c r="J7" s="51" t="s">
        <v>568</v>
      </c>
      <c r="K7" s="92" t="s">
        <v>30</v>
      </c>
      <c r="L7" s="13" t="s">
        <v>179</v>
      </c>
      <c r="M7" s="13" t="s">
        <v>134</v>
      </c>
      <c r="N7" s="201">
        <v>43175</v>
      </c>
      <c r="O7" s="201">
        <v>42914</v>
      </c>
      <c r="P7" s="201" t="s">
        <v>1233</v>
      </c>
      <c r="Q7" s="30" t="s">
        <v>77</v>
      </c>
      <c r="R7" s="30" t="s">
        <v>13</v>
      </c>
      <c r="S7" s="229"/>
      <c r="T7" s="200">
        <v>700</v>
      </c>
      <c r="U7" s="230">
        <v>1</v>
      </c>
      <c r="V7" s="199"/>
      <c r="W7" s="7"/>
      <c r="X7" s="7" t="s">
        <v>1482</v>
      </c>
      <c r="Y7" s="88"/>
      <c r="Z7" s="7" t="s">
        <v>2155</v>
      </c>
      <c r="AA7" s="47" t="s">
        <v>1762</v>
      </c>
      <c r="AB7" s="47" t="s">
        <v>1761</v>
      </c>
      <c r="AC7" s="47" t="s">
        <v>1925</v>
      </c>
      <c r="AD7" s="47" t="s">
        <v>1926</v>
      </c>
      <c r="AE7" s="357" t="s">
        <v>2285</v>
      </c>
      <c r="AF7" s="353" t="s">
        <v>2481</v>
      </c>
      <c r="AG7" s="222" t="s">
        <v>2204</v>
      </c>
    </row>
    <row r="8" spans="1:89" s="57" customFormat="1" ht="69.599999999999994">
      <c r="A8" s="30">
        <f t="shared" si="1"/>
        <v>7</v>
      </c>
      <c r="B8" s="13" t="s">
        <v>94</v>
      </c>
      <c r="C8" s="13" t="s">
        <v>380</v>
      </c>
      <c r="D8" s="30" t="s">
        <v>111</v>
      </c>
      <c r="E8" s="13" t="s">
        <v>53</v>
      </c>
      <c r="F8" s="16" t="s">
        <v>142</v>
      </c>
      <c r="G8" s="16" t="s">
        <v>441</v>
      </c>
      <c r="H8" s="13" t="s">
        <v>17</v>
      </c>
      <c r="I8" s="51" t="str">
        <f t="shared" si="0"/>
        <v>경남</v>
      </c>
      <c r="J8" s="51" t="s">
        <v>564</v>
      </c>
      <c r="K8" s="92" t="s">
        <v>89</v>
      </c>
      <c r="L8" s="13" t="s">
        <v>129</v>
      </c>
      <c r="M8" s="13" t="s">
        <v>18</v>
      </c>
      <c r="N8" s="25">
        <v>43419</v>
      </c>
      <c r="O8" s="25">
        <v>43158</v>
      </c>
      <c r="P8" s="25" t="s">
        <v>1233</v>
      </c>
      <c r="Q8" s="30" t="s">
        <v>77</v>
      </c>
      <c r="R8" s="30" t="s">
        <v>13</v>
      </c>
      <c r="S8" s="217"/>
      <c r="T8" s="13">
        <v>700</v>
      </c>
      <c r="U8" s="218">
        <v>1</v>
      </c>
      <c r="V8" s="14"/>
      <c r="W8" s="7"/>
      <c r="X8" s="7" t="s">
        <v>1482</v>
      </c>
      <c r="Y8" s="88"/>
      <c r="Z8" s="7" t="s">
        <v>2150</v>
      </c>
      <c r="AA8" s="47" t="s">
        <v>1760</v>
      </c>
      <c r="AB8" s="47" t="s">
        <v>1759</v>
      </c>
      <c r="AC8" s="47" t="s">
        <v>1928</v>
      </c>
      <c r="AD8" s="47" t="s">
        <v>1926</v>
      </c>
      <c r="AE8" s="357" t="s">
        <v>2286</v>
      </c>
      <c r="AF8" s="352" t="s">
        <v>2322</v>
      </c>
      <c r="AG8" s="352" t="s">
        <v>2323</v>
      </c>
    </row>
    <row r="9" spans="1:89" s="105" customFormat="1" ht="46.8">
      <c r="A9" s="30">
        <f t="shared" si="1"/>
        <v>8</v>
      </c>
      <c r="B9" s="13" t="s">
        <v>285</v>
      </c>
      <c r="C9" s="13" t="s">
        <v>380</v>
      </c>
      <c r="D9" s="30" t="s">
        <v>143</v>
      </c>
      <c r="E9" s="13" t="s">
        <v>4</v>
      </c>
      <c r="F9" s="16" t="s">
        <v>142</v>
      </c>
      <c r="G9" s="16" t="s">
        <v>441</v>
      </c>
      <c r="H9" s="7" t="s">
        <v>406</v>
      </c>
      <c r="I9" s="51" t="str">
        <f t="shared" si="0"/>
        <v>경남</v>
      </c>
      <c r="J9" s="51" t="s">
        <v>564</v>
      </c>
      <c r="K9" s="32" t="s">
        <v>121</v>
      </c>
      <c r="L9" s="17" t="s">
        <v>195</v>
      </c>
      <c r="M9" s="13" t="s">
        <v>18</v>
      </c>
      <c r="N9" s="25">
        <v>43817</v>
      </c>
      <c r="O9" s="25">
        <v>43531</v>
      </c>
      <c r="P9" s="25" t="s">
        <v>1233</v>
      </c>
      <c r="Q9" s="14" t="s">
        <v>77</v>
      </c>
      <c r="R9" s="12" t="s">
        <v>88</v>
      </c>
      <c r="S9" s="30" t="s">
        <v>378</v>
      </c>
      <c r="T9" s="7" t="s">
        <v>67</v>
      </c>
      <c r="U9" s="235">
        <v>1</v>
      </c>
      <c r="V9" s="121"/>
      <c r="W9" s="7"/>
      <c r="X9" s="7" t="s">
        <v>1482</v>
      </c>
      <c r="Y9" s="7"/>
      <c r="Z9" s="7" t="s">
        <v>2150</v>
      </c>
      <c r="AA9" s="47" t="s">
        <v>1758</v>
      </c>
      <c r="AB9" s="47" t="s">
        <v>1757</v>
      </c>
      <c r="AC9" s="47" t="s">
        <v>1936</v>
      </c>
      <c r="AD9" s="47" t="s">
        <v>1926</v>
      </c>
      <c r="AE9" s="357" t="s">
        <v>2503</v>
      </c>
      <c r="AF9" s="32" t="s">
        <v>2426</v>
      </c>
      <c r="AG9" s="92" t="s">
        <v>2427</v>
      </c>
    </row>
    <row r="10" spans="1:89" ht="17.399999999999999">
      <c r="A10" s="144">
        <f t="shared" si="1"/>
        <v>9</v>
      </c>
      <c r="B10" s="171" t="s">
        <v>205</v>
      </c>
      <c r="C10" s="107" t="s">
        <v>344</v>
      </c>
      <c r="D10" s="108" t="s">
        <v>1281</v>
      </c>
      <c r="E10" s="107" t="s">
        <v>113</v>
      </c>
      <c r="F10" s="107" t="s">
        <v>145</v>
      </c>
      <c r="G10" s="107" t="s">
        <v>441</v>
      </c>
      <c r="H10" s="171" t="s">
        <v>744</v>
      </c>
      <c r="I10" s="109" t="str">
        <f t="shared" si="0"/>
        <v>전남</v>
      </c>
      <c r="J10" s="109" t="s">
        <v>568</v>
      </c>
      <c r="K10" s="177" t="s">
        <v>115</v>
      </c>
      <c r="L10" s="174" t="s">
        <v>108</v>
      </c>
      <c r="M10" s="171" t="s">
        <v>132</v>
      </c>
      <c r="N10" s="111">
        <v>44047</v>
      </c>
      <c r="O10" s="112">
        <v>43880</v>
      </c>
      <c r="P10" s="112" t="s">
        <v>1233</v>
      </c>
      <c r="Q10" s="178" t="s">
        <v>77</v>
      </c>
      <c r="R10" s="178" t="s">
        <v>88</v>
      </c>
      <c r="S10" s="106" t="s">
        <v>378</v>
      </c>
      <c r="T10" s="107">
        <v>700</v>
      </c>
      <c r="U10" s="243">
        <v>1</v>
      </c>
      <c r="V10" s="244"/>
      <c r="W10" s="148"/>
      <c r="X10" s="148" t="s">
        <v>1482</v>
      </c>
      <c r="Y10" s="163"/>
      <c r="Z10" s="148" t="s">
        <v>2150</v>
      </c>
      <c r="AA10" s="261" t="s">
        <v>1755</v>
      </c>
      <c r="AB10" s="261" t="s">
        <v>1754</v>
      </c>
      <c r="AC10" s="261"/>
      <c r="AD10" s="261"/>
      <c r="AE10" s="261"/>
      <c r="AF10" s="215" t="s">
        <v>2229</v>
      </c>
      <c r="AG10" s="148"/>
    </row>
    <row r="11" spans="1:89" ht="31.2">
      <c r="A11" s="30">
        <f t="shared" si="1"/>
        <v>10</v>
      </c>
      <c r="B11" s="22" t="s">
        <v>288</v>
      </c>
      <c r="C11" s="33" t="s">
        <v>351</v>
      </c>
      <c r="D11" s="12" t="s">
        <v>111</v>
      </c>
      <c r="E11" s="22" t="s">
        <v>53</v>
      </c>
      <c r="F11" s="22" t="s">
        <v>136</v>
      </c>
      <c r="G11" s="22" t="s">
        <v>441</v>
      </c>
      <c r="H11" s="33" t="s">
        <v>548</v>
      </c>
      <c r="I11" s="51" t="str">
        <f t="shared" si="0"/>
        <v>울산</v>
      </c>
      <c r="J11" s="51" t="s">
        <v>564</v>
      </c>
      <c r="K11" s="100" t="s">
        <v>133</v>
      </c>
      <c r="L11" s="52" t="s">
        <v>325</v>
      </c>
      <c r="M11" s="22" t="s">
        <v>51</v>
      </c>
      <c r="N11" s="27">
        <v>44165</v>
      </c>
      <c r="O11" s="53">
        <v>43917</v>
      </c>
      <c r="P11" s="53" t="s">
        <v>1233</v>
      </c>
      <c r="Q11" s="22" t="s">
        <v>69</v>
      </c>
      <c r="R11" s="22" t="s">
        <v>88</v>
      </c>
      <c r="S11" s="30" t="s">
        <v>378</v>
      </c>
      <c r="T11" s="22">
        <v>700</v>
      </c>
      <c r="U11" s="235">
        <v>2</v>
      </c>
      <c r="V11" s="73" t="s">
        <v>1350</v>
      </c>
      <c r="W11" s="28"/>
      <c r="X11" s="22" t="s">
        <v>1486</v>
      </c>
      <c r="Y11" s="55"/>
      <c r="Z11" s="28" t="s">
        <v>2150</v>
      </c>
      <c r="AA11" s="47" t="s">
        <v>1753</v>
      </c>
      <c r="AB11" s="47" t="s">
        <v>1752</v>
      </c>
      <c r="AC11" s="47"/>
      <c r="AD11" s="47"/>
      <c r="AE11" s="47"/>
      <c r="AF11" s="8" t="s">
        <v>2234</v>
      </c>
      <c r="AG11" s="220"/>
    </row>
    <row r="12" spans="1:89" ht="17.399999999999999">
      <c r="A12" s="30">
        <f t="shared" si="1"/>
        <v>11</v>
      </c>
      <c r="B12" s="22" t="s">
        <v>211</v>
      </c>
      <c r="C12" s="22" t="s">
        <v>346</v>
      </c>
      <c r="D12" s="12" t="s">
        <v>1281</v>
      </c>
      <c r="E12" s="22" t="s">
        <v>113</v>
      </c>
      <c r="F12" s="22" t="s">
        <v>222</v>
      </c>
      <c r="G12" s="22" t="s">
        <v>441</v>
      </c>
      <c r="H12" s="33" t="s">
        <v>1396</v>
      </c>
      <c r="I12" s="51" t="str">
        <f t="shared" si="0"/>
        <v>울산</v>
      </c>
      <c r="J12" s="51" t="s">
        <v>564</v>
      </c>
      <c r="K12" s="100" t="s">
        <v>135</v>
      </c>
      <c r="L12" s="52" t="s">
        <v>160</v>
      </c>
      <c r="M12" s="22" t="s">
        <v>51</v>
      </c>
      <c r="N12" s="196">
        <v>44183</v>
      </c>
      <c r="O12" s="196">
        <v>43937</v>
      </c>
      <c r="P12" s="196" t="s">
        <v>1233</v>
      </c>
      <c r="Q12" s="22" t="s">
        <v>69</v>
      </c>
      <c r="R12" s="22" t="s">
        <v>88</v>
      </c>
      <c r="S12" s="197" t="s">
        <v>378</v>
      </c>
      <c r="T12" s="191">
        <v>700</v>
      </c>
      <c r="U12" s="242">
        <v>2</v>
      </c>
      <c r="V12" s="271" t="s">
        <v>1350</v>
      </c>
      <c r="W12" s="7"/>
      <c r="X12" s="22" t="s">
        <v>1482</v>
      </c>
      <c r="Y12" s="88"/>
      <c r="Z12" s="7" t="s">
        <v>2150</v>
      </c>
      <c r="AA12" s="47" t="s">
        <v>2437</v>
      </c>
      <c r="AB12" s="47" t="s">
        <v>1751</v>
      </c>
      <c r="AC12" s="47" t="s">
        <v>1947</v>
      </c>
      <c r="AD12" s="47" t="s">
        <v>1920</v>
      </c>
      <c r="AE12" s="47"/>
      <c r="AF12" s="8" t="s">
        <v>2236</v>
      </c>
      <c r="AG12" s="88" t="s">
        <v>1868</v>
      </c>
    </row>
    <row r="13" spans="1:89" ht="17.399999999999999">
      <c r="A13" s="30">
        <f t="shared" si="1"/>
        <v>12</v>
      </c>
      <c r="B13" s="7" t="s">
        <v>200</v>
      </c>
      <c r="C13" s="7" t="s">
        <v>584</v>
      </c>
      <c r="D13" s="30" t="s">
        <v>111</v>
      </c>
      <c r="E13" s="7" t="s">
        <v>53</v>
      </c>
      <c r="F13" s="7" t="s">
        <v>145</v>
      </c>
      <c r="G13" s="7" t="s">
        <v>442</v>
      </c>
      <c r="H13" s="7" t="s">
        <v>406</v>
      </c>
      <c r="I13" s="51" t="str">
        <f t="shared" si="0"/>
        <v>경남</v>
      </c>
      <c r="J13" s="51" t="s">
        <v>564</v>
      </c>
      <c r="K13" s="84" t="s">
        <v>99</v>
      </c>
      <c r="L13" s="7" t="s">
        <v>199</v>
      </c>
      <c r="M13" s="7" t="s">
        <v>55</v>
      </c>
      <c r="N13" s="24">
        <v>44196</v>
      </c>
      <c r="O13" s="34" t="s">
        <v>156</v>
      </c>
      <c r="P13" s="7" t="s">
        <v>1233</v>
      </c>
      <c r="Q13" s="7" t="s">
        <v>77</v>
      </c>
      <c r="R13" s="7" t="s">
        <v>88</v>
      </c>
      <c r="S13" s="30" t="s">
        <v>378</v>
      </c>
      <c r="T13" s="7" t="s">
        <v>54</v>
      </c>
      <c r="U13" s="225">
        <v>2</v>
      </c>
      <c r="V13" s="73" t="s">
        <v>1350</v>
      </c>
      <c r="W13" s="221"/>
      <c r="X13" s="22" t="s">
        <v>1482</v>
      </c>
      <c r="Y13" s="222"/>
      <c r="Z13" s="221" t="s">
        <v>2155</v>
      </c>
      <c r="AA13" s="47" t="s">
        <v>1949</v>
      </c>
      <c r="AB13" s="47" t="s">
        <v>1950</v>
      </c>
      <c r="AC13" s="47" t="s">
        <v>1947</v>
      </c>
      <c r="AD13" s="47" t="s">
        <v>1926</v>
      </c>
      <c r="AE13" s="47"/>
      <c r="AF13" s="32" t="s">
        <v>2238</v>
      </c>
      <c r="AG13" s="88" t="s">
        <v>2239</v>
      </c>
    </row>
    <row r="14" spans="1:89" ht="17.399999999999999">
      <c r="A14" s="30">
        <f t="shared" si="1"/>
        <v>13</v>
      </c>
      <c r="B14" s="13" t="s">
        <v>46</v>
      </c>
      <c r="C14" s="13" t="s">
        <v>391</v>
      </c>
      <c r="D14" s="30" t="s">
        <v>143</v>
      </c>
      <c r="E14" s="13" t="s">
        <v>4</v>
      </c>
      <c r="F14" s="16" t="s">
        <v>142</v>
      </c>
      <c r="G14" s="16" t="s">
        <v>441</v>
      </c>
      <c r="H14" s="13" t="s">
        <v>42</v>
      </c>
      <c r="I14" s="51" t="str">
        <f t="shared" si="0"/>
        <v>경북</v>
      </c>
      <c r="J14" s="51" t="s">
        <v>564</v>
      </c>
      <c r="K14" s="92" t="s">
        <v>47</v>
      </c>
      <c r="L14" s="13" t="s">
        <v>187</v>
      </c>
      <c r="M14" s="13" t="s">
        <v>110</v>
      </c>
      <c r="N14" s="25">
        <v>43631</v>
      </c>
      <c r="O14" s="25">
        <v>43437</v>
      </c>
      <c r="P14" s="25" t="s">
        <v>1233</v>
      </c>
      <c r="Q14" s="14" t="s">
        <v>77</v>
      </c>
      <c r="R14" s="30" t="s">
        <v>872</v>
      </c>
      <c r="S14" s="217"/>
      <c r="T14" s="13">
        <v>700</v>
      </c>
      <c r="U14" s="218">
        <v>1</v>
      </c>
      <c r="V14" s="14"/>
      <c r="W14" s="7"/>
      <c r="X14" s="7" t="s">
        <v>1482</v>
      </c>
      <c r="Y14" s="88"/>
      <c r="Z14" s="7" t="s">
        <v>2150</v>
      </c>
      <c r="AA14" s="47" t="s">
        <v>1750</v>
      </c>
      <c r="AB14" s="47" t="s">
        <v>1749</v>
      </c>
      <c r="AC14" s="47"/>
      <c r="AD14" s="47"/>
      <c r="AE14" s="47"/>
      <c r="AF14" s="8" t="s">
        <v>2214</v>
      </c>
      <c r="AG14" s="88"/>
    </row>
    <row r="15" spans="1:89" ht="17.399999999999999">
      <c r="A15" s="30">
        <f t="shared" si="1"/>
        <v>14</v>
      </c>
      <c r="B15" s="22" t="s">
        <v>223</v>
      </c>
      <c r="C15" s="22" t="s">
        <v>352</v>
      </c>
      <c r="D15" s="12" t="s">
        <v>111</v>
      </c>
      <c r="E15" s="22" t="s">
        <v>53</v>
      </c>
      <c r="F15" s="22" t="s">
        <v>145</v>
      </c>
      <c r="G15" s="22" t="s">
        <v>442</v>
      </c>
      <c r="H15" s="7" t="s">
        <v>42</v>
      </c>
      <c r="I15" s="51" t="str">
        <f t="shared" si="0"/>
        <v>충북</v>
      </c>
      <c r="J15" s="51" t="s">
        <v>569</v>
      </c>
      <c r="K15" s="20" t="s">
        <v>224</v>
      </c>
      <c r="L15" s="52" t="s">
        <v>296</v>
      </c>
      <c r="M15" s="22" t="s">
        <v>56</v>
      </c>
      <c r="N15" s="27">
        <v>44280</v>
      </c>
      <c r="O15" s="53">
        <v>44012</v>
      </c>
      <c r="P15" s="53" t="s">
        <v>1233</v>
      </c>
      <c r="Q15" s="28" t="s">
        <v>69</v>
      </c>
      <c r="R15" s="22" t="s">
        <v>872</v>
      </c>
      <c r="S15" s="14" t="s">
        <v>872</v>
      </c>
      <c r="T15" s="22">
        <v>700</v>
      </c>
      <c r="U15" s="14">
        <v>1</v>
      </c>
      <c r="V15" s="28"/>
      <c r="W15" s="22"/>
      <c r="X15" s="22" t="s">
        <v>1482</v>
      </c>
      <c r="Y15" s="22"/>
      <c r="Z15" s="22" t="s">
        <v>2155</v>
      </c>
      <c r="AA15" s="47" t="s">
        <v>1748</v>
      </c>
      <c r="AB15" s="47" t="s">
        <v>1747</v>
      </c>
      <c r="AC15" s="47"/>
      <c r="AD15" s="47"/>
      <c r="AE15" s="47"/>
      <c r="AF15" s="8" t="s">
        <v>2243</v>
      </c>
      <c r="AG15" s="88" t="s">
        <v>2444</v>
      </c>
    </row>
    <row r="16" spans="1:89" s="49" customFormat="1" ht="31.2">
      <c r="A16" s="74">
        <f t="shared" si="1"/>
        <v>15</v>
      </c>
      <c r="B16" s="48" t="s">
        <v>218</v>
      </c>
      <c r="C16" s="33" t="s">
        <v>355</v>
      </c>
      <c r="D16" s="12" t="s">
        <v>111</v>
      </c>
      <c r="E16" s="22" t="s">
        <v>53</v>
      </c>
      <c r="F16" s="22" t="s">
        <v>145</v>
      </c>
      <c r="G16" s="22" t="s">
        <v>441</v>
      </c>
      <c r="H16" s="48" t="s">
        <v>409</v>
      </c>
      <c r="I16" s="51" t="str">
        <f t="shared" si="0"/>
        <v>경기</v>
      </c>
      <c r="J16" s="51" t="s">
        <v>565</v>
      </c>
      <c r="K16" s="79" t="s">
        <v>219</v>
      </c>
      <c r="L16" s="80" t="s">
        <v>220</v>
      </c>
      <c r="M16" s="48" t="s">
        <v>116</v>
      </c>
      <c r="N16" s="27">
        <v>44314</v>
      </c>
      <c r="O16" s="53">
        <v>44007</v>
      </c>
      <c r="P16" s="53" t="s">
        <v>1233</v>
      </c>
      <c r="Q16" s="48" t="s">
        <v>69</v>
      </c>
      <c r="R16" s="48" t="s">
        <v>872</v>
      </c>
      <c r="S16" s="14" t="s">
        <v>1237</v>
      </c>
      <c r="T16" s="22">
        <v>700</v>
      </c>
      <c r="U16" s="14">
        <v>1</v>
      </c>
      <c r="V16" s="28"/>
      <c r="W16" s="48"/>
      <c r="X16" s="48" t="s">
        <v>1482</v>
      </c>
      <c r="Y16" s="48"/>
      <c r="Z16" s="48" t="s">
        <v>2155</v>
      </c>
      <c r="AA16" s="393" t="s">
        <v>1746</v>
      </c>
      <c r="AB16" s="393" t="s">
        <v>1745</v>
      </c>
      <c r="AC16" s="393" t="s">
        <v>1923</v>
      </c>
      <c r="AD16" s="393" t="s">
        <v>1920</v>
      </c>
      <c r="AE16" s="393"/>
      <c r="AF16" s="233" t="s">
        <v>2246</v>
      </c>
      <c r="AG16" s="48"/>
    </row>
    <row r="17" spans="1:33" ht="34.799999999999997">
      <c r="A17" s="30">
        <f t="shared" si="1"/>
        <v>16</v>
      </c>
      <c r="B17" s="22" t="s">
        <v>783</v>
      </c>
      <c r="C17" s="22" t="s">
        <v>365</v>
      </c>
      <c r="D17" s="12" t="s">
        <v>111</v>
      </c>
      <c r="E17" s="28" t="s">
        <v>53</v>
      </c>
      <c r="F17" s="22" t="s">
        <v>145</v>
      </c>
      <c r="G17" s="22" t="s">
        <v>441</v>
      </c>
      <c r="H17" s="28" t="s">
        <v>419</v>
      </c>
      <c r="I17" s="51" t="str">
        <f t="shared" si="0"/>
        <v>강원</v>
      </c>
      <c r="J17" s="51" t="s">
        <v>566</v>
      </c>
      <c r="K17" s="58" t="s">
        <v>775</v>
      </c>
      <c r="L17" s="52" t="s">
        <v>209</v>
      </c>
      <c r="M17" s="28" t="s">
        <v>159</v>
      </c>
      <c r="N17" s="27">
        <v>44364</v>
      </c>
      <c r="O17" s="27" t="s">
        <v>784</v>
      </c>
      <c r="P17" s="27" t="s">
        <v>1233</v>
      </c>
      <c r="Q17" s="22" t="s">
        <v>69</v>
      </c>
      <c r="R17" s="28" t="s">
        <v>872</v>
      </c>
      <c r="S17" s="30" t="s">
        <v>1237</v>
      </c>
      <c r="T17" s="28">
        <v>700</v>
      </c>
      <c r="U17" s="218">
        <v>2</v>
      </c>
      <c r="V17" s="228" t="s">
        <v>1353</v>
      </c>
      <c r="W17" s="22"/>
      <c r="X17" s="22" t="s">
        <v>1482</v>
      </c>
      <c r="Y17" s="22"/>
      <c r="Z17" s="22" t="s">
        <v>2155</v>
      </c>
      <c r="AA17" s="47" t="s">
        <v>1744</v>
      </c>
      <c r="AB17" s="47" t="s">
        <v>1743</v>
      </c>
      <c r="AC17" s="47" t="s">
        <v>1874</v>
      </c>
      <c r="AD17" s="47">
        <v>502</v>
      </c>
      <c r="AE17" s="357" t="s">
        <v>2398</v>
      </c>
      <c r="AF17" s="8" t="s">
        <v>2248</v>
      </c>
      <c r="AG17" s="21" t="s">
        <v>1506</v>
      </c>
    </row>
    <row r="18" spans="1:33" ht="34.799999999999997">
      <c r="A18" s="30">
        <f t="shared" si="1"/>
        <v>17</v>
      </c>
      <c r="B18" s="7" t="s">
        <v>1333</v>
      </c>
      <c r="C18" s="7" t="s">
        <v>1334</v>
      </c>
      <c r="D18" s="56" t="s">
        <v>1008</v>
      </c>
      <c r="E18" s="33" t="s">
        <v>1009</v>
      </c>
      <c r="F18" s="22" t="s">
        <v>145</v>
      </c>
      <c r="G18" s="22" t="s">
        <v>441</v>
      </c>
      <c r="H18" s="78" t="s">
        <v>992</v>
      </c>
      <c r="I18" s="7" t="s">
        <v>566</v>
      </c>
      <c r="J18" s="7" t="s">
        <v>566</v>
      </c>
      <c r="K18" s="88" t="s">
        <v>1335</v>
      </c>
      <c r="L18" s="7" t="s">
        <v>1336</v>
      </c>
      <c r="M18" s="7" t="s">
        <v>159</v>
      </c>
      <c r="N18" s="34">
        <v>45798</v>
      </c>
      <c r="O18" s="24" t="s">
        <v>1337</v>
      </c>
      <c r="P18" s="16" t="s">
        <v>1235</v>
      </c>
      <c r="Q18" s="72" t="s">
        <v>69</v>
      </c>
      <c r="R18" s="94" t="s">
        <v>1012</v>
      </c>
      <c r="S18" s="94" t="s">
        <v>1242</v>
      </c>
      <c r="T18" s="22">
        <v>700</v>
      </c>
      <c r="U18" s="22">
        <v>4</v>
      </c>
      <c r="V18" s="273" t="s">
        <v>1378</v>
      </c>
      <c r="W18" s="220"/>
      <c r="X18" s="22" t="s">
        <v>1498</v>
      </c>
      <c r="Y18" s="88"/>
      <c r="Z18" s="7" t="s">
        <v>2155</v>
      </c>
      <c r="AA18" s="47" t="s">
        <v>1744</v>
      </c>
      <c r="AB18" s="47" t="s">
        <v>2492</v>
      </c>
      <c r="AC18" s="47" t="s">
        <v>1923</v>
      </c>
      <c r="AD18" s="47" t="s">
        <v>1920</v>
      </c>
      <c r="AE18" s="357" t="s">
        <v>2398</v>
      </c>
      <c r="AF18" s="220" t="s">
        <v>2482</v>
      </c>
      <c r="AG18" s="220"/>
    </row>
    <row r="19" spans="1:33" ht="31.2">
      <c r="A19" s="30">
        <f t="shared" si="1"/>
        <v>18</v>
      </c>
      <c r="B19" s="22" t="s">
        <v>2194</v>
      </c>
      <c r="C19" s="22" t="s">
        <v>587</v>
      </c>
      <c r="D19" s="12" t="s">
        <v>111</v>
      </c>
      <c r="E19" s="22" t="s">
        <v>53</v>
      </c>
      <c r="F19" s="22" t="s">
        <v>145</v>
      </c>
      <c r="G19" s="22" t="s">
        <v>441</v>
      </c>
      <c r="H19" s="22" t="s">
        <v>409</v>
      </c>
      <c r="I19" s="51" t="str">
        <f t="shared" ref="I19:I29" si="2">LEFT(K19,2)</f>
        <v>경기</v>
      </c>
      <c r="J19" s="51" t="s">
        <v>565</v>
      </c>
      <c r="K19" s="100" t="s">
        <v>137</v>
      </c>
      <c r="L19" s="52" t="s">
        <v>208</v>
      </c>
      <c r="M19" s="22" t="s">
        <v>116</v>
      </c>
      <c r="N19" s="27">
        <v>44109</v>
      </c>
      <c r="O19" s="27" t="s">
        <v>803</v>
      </c>
      <c r="P19" s="27" t="s">
        <v>1233</v>
      </c>
      <c r="Q19" s="22" t="s">
        <v>69</v>
      </c>
      <c r="R19" s="22" t="s">
        <v>872</v>
      </c>
      <c r="S19" s="30" t="s">
        <v>1237</v>
      </c>
      <c r="T19" s="22">
        <v>700</v>
      </c>
      <c r="U19" s="235">
        <v>2</v>
      </c>
      <c r="V19" s="228" t="s">
        <v>1348</v>
      </c>
      <c r="W19" s="7"/>
      <c r="X19" s="22" t="s">
        <v>1482</v>
      </c>
      <c r="Y19" s="88"/>
      <c r="Z19" s="7" t="s">
        <v>2151</v>
      </c>
      <c r="AA19" s="47" t="s">
        <v>1742</v>
      </c>
      <c r="AB19" s="47" t="s">
        <v>1741</v>
      </c>
      <c r="AC19" s="47" t="s">
        <v>1923</v>
      </c>
      <c r="AD19" s="47" t="s">
        <v>1920</v>
      </c>
      <c r="AE19" s="47"/>
      <c r="AF19" s="32" t="s">
        <v>2433</v>
      </c>
      <c r="AG19" s="222" t="s">
        <v>2432</v>
      </c>
    </row>
    <row r="20" spans="1:33" ht="17.399999999999999">
      <c r="A20" s="30">
        <f t="shared" si="1"/>
        <v>19</v>
      </c>
      <c r="B20" s="22" t="s">
        <v>307</v>
      </c>
      <c r="C20" s="22" t="s">
        <v>375</v>
      </c>
      <c r="D20" s="22" t="s">
        <v>111</v>
      </c>
      <c r="E20" s="22" t="s">
        <v>53</v>
      </c>
      <c r="F20" s="22" t="s">
        <v>83</v>
      </c>
      <c r="G20" s="22" t="s">
        <v>442</v>
      </c>
      <c r="H20" s="22" t="s">
        <v>749</v>
      </c>
      <c r="I20" s="51" t="str">
        <f t="shared" si="2"/>
        <v>충남</v>
      </c>
      <c r="J20" s="51" t="s">
        <v>569</v>
      </c>
      <c r="K20" s="62" t="s">
        <v>570</v>
      </c>
      <c r="L20" s="52" t="s">
        <v>311</v>
      </c>
      <c r="M20" s="22" t="s">
        <v>101</v>
      </c>
      <c r="N20" s="27">
        <v>44385</v>
      </c>
      <c r="O20" s="53">
        <v>44243</v>
      </c>
      <c r="P20" s="53" t="s">
        <v>1233</v>
      </c>
      <c r="Q20" s="22" t="s">
        <v>69</v>
      </c>
      <c r="R20" s="22" t="s">
        <v>106</v>
      </c>
      <c r="S20" s="14" t="s">
        <v>1242</v>
      </c>
      <c r="T20" s="22">
        <v>700</v>
      </c>
      <c r="U20" s="14">
        <v>1</v>
      </c>
      <c r="V20" s="22"/>
      <c r="W20" s="221"/>
      <c r="X20" s="22" t="s">
        <v>1482</v>
      </c>
      <c r="Y20" s="222"/>
      <c r="Z20" s="221" t="s">
        <v>2150</v>
      </c>
      <c r="AA20" s="47" t="s">
        <v>2149</v>
      </c>
      <c r="AB20" s="47" t="s">
        <v>1740</v>
      </c>
      <c r="AC20" s="47"/>
      <c r="AD20" s="47"/>
      <c r="AE20" s="47"/>
      <c r="AF20" s="8" t="s">
        <v>2254</v>
      </c>
      <c r="AG20" s="220"/>
    </row>
    <row r="21" spans="1:33" ht="31.2">
      <c r="A21" s="30">
        <f t="shared" si="1"/>
        <v>20</v>
      </c>
      <c r="B21" s="7" t="s">
        <v>822</v>
      </c>
      <c r="C21" s="7" t="s">
        <v>588</v>
      </c>
      <c r="D21" s="14" t="s">
        <v>143</v>
      </c>
      <c r="E21" s="22" t="s">
        <v>53</v>
      </c>
      <c r="F21" s="22" t="s">
        <v>83</v>
      </c>
      <c r="G21" s="22" t="s">
        <v>442</v>
      </c>
      <c r="H21" s="22" t="s">
        <v>745</v>
      </c>
      <c r="I21" s="51" t="str">
        <f t="shared" si="2"/>
        <v>전북</v>
      </c>
      <c r="J21" s="51" t="s">
        <v>568</v>
      </c>
      <c r="K21" s="21" t="s">
        <v>82</v>
      </c>
      <c r="L21" s="26" t="s">
        <v>84</v>
      </c>
      <c r="M21" s="22" t="s">
        <v>86</v>
      </c>
      <c r="N21" s="27">
        <v>44057</v>
      </c>
      <c r="O21" s="27" t="s">
        <v>823</v>
      </c>
      <c r="P21" s="27" t="s">
        <v>1233</v>
      </c>
      <c r="Q21" s="12" t="s">
        <v>69</v>
      </c>
      <c r="R21" s="12" t="s">
        <v>106</v>
      </c>
      <c r="S21" s="30" t="s">
        <v>1237</v>
      </c>
      <c r="T21" s="22">
        <v>700</v>
      </c>
      <c r="U21" s="235">
        <v>2</v>
      </c>
      <c r="V21" s="228" t="s">
        <v>1347</v>
      </c>
      <c r="W21" s="7"/>
      <c r="X21" s="22" t="s">
        <v>1482</v>
      </c>
      <c r="Y21" s="88"/>
      <c r="Z21" s="7" t="s">
        <v>2150</v>
      </c>
      <c r="AA21" s="47" t="s">
        <v>1739</v>
      </c>
      <c r="AB21" s="47" t="s">
        <v>1738</v>
      </c>
      <c r="AC21" s="47"/>
      <c r="AD21" s="47"/>
      <c r="AE21" s="47"/>
      <c r="AF21" s="8" t="s">
        <v>2231</v>
      </c>
      <c r="AG21" s="220"/>
    </row>
    <row r="22" spans="1:33" s="87" customFormat="1" ht="31.2">
      <c r="A22" s="74">
        <f t="shared" si="1"/>
        <v>21</v>
      </c>
      <c r="B22" s="118" t="s">
        <v>184</v>
      </c>
      <c r="C22" s="118" t="s">
        <v>382</v>
      </c>
      <c r="D22" s="74" t="s">
        <v>143</v>
      </c>
      <c r="E22" s="118" t="s">
        <v>4</v>
      </c>
      <c r="F22" s="118" t="s">
        <v>142</v>
      </c>
      <c r="G22" s="118" t="s">
        <v>441</v>
      </c>
      <c r="H22" s="118" t="s">
        <v>102</v>
      </c>
      <c r="I22" s="86" t="str">
        <f t="shared" si="2"/>
        <v>부산</v>
      </c>
      <c r="J22" s="86" t="s">
        <v>564</v>
      </c>
      <c r="K22" s="119" t="s">
        <v>36</v>
      </c>
      <c r="L22" s="118" t="s">
        <v>183</v>
      </c>
      <c r="M22" s="118" t="s">
        <v>21</v>
      </c>
      <c r="N22" s="120">
        <v>43531</v>
      </c>
      <c r="O22" s="120">
        <v>43262</v>
      </c>
      <c r="P22" s="120" t="s">
        <v>1233</v>
      </c>
      <c r="Q22" s="121" t="s">
        <v>77</v>
      </c>
      <c r="R22" s="74" t="s">
        <v>20</v>
      </c>
      <c r="S22" s="231"/>
      <c r="T22" s="118">
        <v>700</v>
      </c>
      <c r="U22" s="232">
        <v>1</v>
      </c>
      <c r="V22" s="121"/>
      <c r="W22" s="123"/>
      <c r="X22" s="123" t="s">
        <v>1482</v>
      </c>
      <c r="Y22" s="125"/>
      <c r="Z22" s="123" t="s">
        <v>2155</v>
      </c>
      <c r="AA22" s="393" t="s">
        <v>1929</v>
      </c>
      <c r="AB22" s="393" t="s">
        <v>1737</v>
      </c>
      <c r="AC22" s="393"/>
      <c r="AD22" s="393"/>
      <c r="AE22" s="393"/>
      <c r="AF22" s="156" t="s">
        <v>2324</v>
      </c>
      <c r="AG22" s="125" t="s">
        <v>1479</v>
      </c>
    </row>
    <row r="23" spans="1:33" ht="17.399999999999999">
      <c r="A23" s="30">
        <f t="shared" si="1"/>
        <v>22</v>
      </c>
      <c r="B23" s="22" t="s">
        <v>271</v>
      </c>
      <c r="C23" s="22" t="s">
        <v>372</v>
      </c>
      <c r="D23" s="22" t="s">
        <v>111</v>
      </c>
      <c r="E23" s="22" t="s">
        <v>53</v>
      </c>
      <c r="F23" s="22" t="s">
        <v>83</v>
      </c>
      <c r="G23" s="22" t="s">
        <v>442</v>
      </c>
      <c r="H23" s="22" t="s">
        <v>432</v>
      </c>
      <c r="I23" s="51" t="str">
        <f t="shared" si="2"/>
        <v>충남</v>
      </c>
      <c r="J23" s="51" t="s">
        <v>569</v>
      </c>
      <c r="K23" s="55" t="s">
        <v>273</v>
      </c>
      <c r="L23" s="26" t="s">
        <v>314</v>
      </c>
      <c r="M23" s="22" t="s">
        <v>101</v>
      </c>
      <c r="N23" s="27">
        <v>44400</v>
      </c>
      <c r="O23" s="53">
        <v>44181</v>
      </c>
      <c r="P23" s="53" t="s">
        <v>1233</v>
      </c>
      <c r="Q23" s="22" t="s">
        <v>69</v>
      </c>
      <c r="R23" s="28" t="s">
        <v>139</v>
      </c>
      <c r="S23" s="7" t="s">
        <v>378</v>
      </c>
      <c r="T23" s="22">
        <v>700</v>
      </c>
      <c r="U23" s="14">
        <v>2</v>
      </c>
      <c r="V23" s="73" t="s">
        <v>1350</v>
      </c>
      <c r="W23" s="221"/>
      <c r="X23" s="22" t="s">
        <v>1482</v>
      </c>
      <c r="Y23" s="222"/>
      <c r="Z23" s="221" t="s">
        <v>2150</v>
      </c>
      <c r="AA23" s="47" t="s">
        <v>1736</v>
      </c>
      <c r="AB23" s="47" t="s">
        <v>1735</v>
      </c>
      <c r="AC23" s="47"/>
      <c r="AD23" s="47"/>
      <c r="AE23" s="47"/>
      <c r="AF23" s="8" t="s">
        <v>2256</v>
      </c>
      <c r="AG23" s="222"/>
    </row>
    <row r="24" spans="1:33" ht="28.8">
      <c r="A24" s="30">
        <f t="shared" si="1"/>
        <v>23</v>
      </c>
      <c r="B24" s="22" t="s">
        <v>270</v>
      </c>
      <c r="C24" s="22" t="s">
        <v>370</v>
      </c>
      <c r="D24" s="22" t="s">
        <v>111</v>
      </c>
      <c r="E24" s="22" t="s">
        <v>53</v>
      </c>
      <c r="F24" s="22" t="s">
        <v>222</v>
      </c>
      <c r="G24" s="22" t="s">
        <v>442</v>
      </c>
      <c r="H24" s="22" t="s">
        <v>432</v>
      </c>
      <c r="I24" s="51" t="str">
        <f t="shared" si="2"/>
        <v>충남</v>
      </c>
      <c r="J24" s="51" t="s">
        <v>569</v>
      </c>
      <c r="K24" s="62" t="s">
        <v>275</v>
      </c>
      <c r="L24" s="26" t="s">
        <v>276</v>
      </c>
      <c r="M24" s="22" t="s">
        <v>101</v>
      </c>
      <c r="N24" s="195">
        <v>44400</v>
      </c>
      <c r="O24" s="196">
        <v>44181</v>
      </c>
      <c r="P24" s="196" t="s">
        <v>1233</v>
      </c>
      <c r="Q24" s="22" t="s">
        <v>69</v>
      </c>
      <c r="R24" s="28" t="s">
        <v>139</v>
      </c>
      <c r="S24" s="206" t="s">
        <v>378</v>
      </c>
      <c r="T24" s="191">
        <v>700</v>
      </c>
      <c r="U24" s="206">
        <v>2</v>
      </c>
      <c r="V24" s="271" t="s">
        <v>1350</v>
      </c>
      <c r="W24" s="221"/>
      <c r="X24" s="22" t="s">
        <v>1482</v>
      </c>
      <c r="Y24" s="222"/>
      <c r="Z24" s="221" t="s">
        <v>2150</v>
      </c>
      <c r="AA24" s="47" t="s">
        <v>1734</v>
      </c>
      <c r="AB24" s="47" t="s">
        <v>1733</v>
      </c>
      <c r="AC24" s="47" t="s">
        <v>1937</v>
      </c>
      <c r="AD24" s="47" t="s">
        <v>1918</v>
      </c>
      <c r="AE24" s="47"/>
      <c r="AF24" s="8" t="s">
        <v>2257</v>
      </c>
      <c r="AG24" s="22"/>
    </row>
    <row r="25" spans="1:33" ht="31.2">
      <c r="A25" s="30">
        <f t="shared" si="1"/>
        <v>24</v>
      </c>
      <c r="B25" s="22" t="s">
        <v>418</v>
      </c>
      <c r="C25" s="22" t="s">
        <v>366</v>
      </c>
      <c r="D25" s="12" t="s">
        <v>111</v>
      </c>
      <c r="E25" s="22" t="s">
        <v>53</v>
      </c>
      <c r="F25" s="22" t="s">
        <v>83</v>
      </c>
      <c r="G25" s="22" t="s">
        <v>443</v>
      </c>
      <c r="H25" s="22" t="s">
        <v>551</v>
      </c>
      <c r="I25" s="51" t="str">
        <f t="shared" si="2"/>
        <v>전북</v>
      </c>
      <c r="J25" s="51" t="s">
        <v>568</v>
      </c>
      <c r="K25" s="62" t="s">
        <v>313</v>
      </c>
      <c r="L25" s="52" t="s">
        <v>309</v>
      </c>
      <c r="M25" s="22" t="s">
        <v>86</v>
      </c>
      <c r="N25" s="27">
        <v>44368</v>
      </c>
      <c r="O25" s="27" t="s">
        <v>1017</v>
      </c>
      <c r="P25" s="27" t="s">
        <v>1233</v>
      </c>
      <c r="Q25" s="22" t="s">
        <v>69</v>
      </c>
      <c r="R25" s="22" t="s">
        <v>106</v>
      </c>
      <c r="S25" s="14" t="s">
        <v>1242</v>
      </c>
      <c r="T25" s="22">
        <v>700</v>
      </c>
      <c r="U25" s="14">
        <v>1</v>
      </c>
      <c r="V25" s="14" t="s">
        <v>1354</v>
      </c>
      <c r="W25" s="22"/>
      <c r="X25" s="22" t="s">
        <v>1482</v>
      </c>
      <c r="Y25" s="22"/>
      <c r="Z25" s="22" t="s">
        <v>2150</v>
      </c>
      <c r="AA25" s="47" t="s">
        <v>1732</v>
      </c>
      <c r="AB25" s="47" t="s">
        <v>1731</v>
      </c>
      <c r="AC25" s="47"/>
      <c r="AD25" s="47"/>
      <c r="AE25" s="47"/>
      <c r="AF25" s="8" t="s">
        <v>2251</v>
      </c>
      <c r="AG25" s="220"/>
    </row>
    <row r="26" spans="1:33" ht="31.2">
      <c r="A26" s="74">
        <f t="shared" si="1"/>
        <v>25</v>
      </c>
      <c r="B26" s="48" t="s">
        <v>246</v>
      </c>
      <c r="C26" s="22" t="s">
        <v>369</v>
      </c>
      <c r="D26" s="12" t="s">
        <v>111</v>
      </c>
      <c r="E26" s="22" t="s">
        <v>53</v>
      </c>
      <c r="F26" s="22" t="s">
        <v>222</v>
      </c>
      <c r="G26" s="22" t="s">
        <v>442</v>
      </c>
      <c r="H26" s="48" t="s">
        <v>444</v>
      </c>
      <c r="I26" s="51" t="str">
        <f t="shared" si="2"/>
        <v>충북</v>
      </c>
      <c r="J26" s="51" t="s">
        <v>569</v>
      </c>
      <c r="K26" s="75" t="s">
        <v>258</v>
      </c>
      <c r="L26" s="80" t="s">
        <v>257</v>
      </c>
      <c r="M26" s="48" t="s">
        <v>80</v>
      </c>
      <c r="N26" s="196">
        <v>44351</v>
      </c>
      <c r="O26" s="196">
        <v>44134</v>
      </c>
      <c r="P26" s="196" t="s">
        <v>1233</v>
      </c>
      <c r="Q26" s="48" t="s">
        <v>69</v>
      </c>
      <c r="R26" s="48" t="s">
        <v>869</v>
      </c>
      <c r="S26" s="188" t="s">
        <v>1238</v>
      </c>
      <c r="T26" s="191">
        <v>700</v>
      </c>
      <c r="U26" s="191">
        <v>1</v>
      </c>
      <c r="V26" s="191"/>
      <c r="W26" s="48"/>
      <c r="X26" s="48" t="s">
        <v>1482</v>
      </c>
      <c r="Y26" s="48"/>
      <c r="Z26" s="48" t="s">
        <v>2155</v>
      </c>
      <c r="AA26" s="393" t="s">
        <v>1730</v>
      </c>
      <c r="AB26" s="393" t="s">
        <v>1729</v>
      </c>
      <c r="AC26" s="393" t="s">
        <v>1952</v>
      </c>
      <c r="AD26" s="393" t="s">
        <v>1920</v>
      </c>
      <c r="AE26" s="393"/>
      <c r="AF26" s="233" t="s">
        <v>1556</v>
      </c>
      <c r="AG26" s="48" t="s">
        <v>1488</v>
      </c>
    </row>
    <row r="27" spans="1:33" s="49" customFormat="1" ht="17.399999999999999">
      <c r="A27" s="30">
        <f t="shared" si="1"/>
        <v>26</v>
      </c>
      <c r="B27" s="22" t="s">
        <v>261</v>
      </c>
      <c r="C27" s="22" t="s">
        <v>350</v>
      </c>
      <c r="D27" s="22" t="s">
        <v>111</v>
      </c>
      <c r="E27" s="22" t="s">
        <v>53</v>
      </c>
      <c r="F27" s="22" t="s">
        <v>222</v>
      </c>
      <c r="G27" s="22" t="s">
        <v>441</v>
      </c>
      <c r="H27" s="22" t="s">
        <v>550</v>
      </c>
      <c r="I27" s="51" t="str">
        <f t="shared" si="2"/>
        <v>경기</v>
      </c>
      <c r="J27" s="51" t="s">
        <v>565</v>
      </c>
      <c r="K27" s="55" t="s">
        <v>262</v>
      </c>
      <c r="L27" s="52" t="s">
        <v>268</v>
      </c>
      <c r="M27" s="22" t="s">
        <v>116</v>
      </c>
      <c r="N27" s="195">
        <v>44376</v>
      </c>
      <c r="O27" s="196">
        <v>44141</v>
      </c>
      <c r="P27" s="196" t="s">
        <v>1233</v>
      </c>
      <c r="Q27" s="22" t="s">
        <v>69</v>
      </c>
      <c r="R27" s="14" t="s">
        <v>1560</v>
      </c>
      <c r="S27" s="198" t="s">
        <v>417</v>
      </c>
      <c r="T27" s="191">
        <v>700</v>
      </c>
      <c r="U27" s="191">
        <v>1</v>
      </c>
      <c r="V27" s="203"/>
      <c r="W27" s="22"/>
      <c r="X27" s="22" t="s">
        <v>1482</v>
      </c>
      <c r="Y27" s="22"/>
      <c r="Z27" s="22" t="s">
        <v>2155</v>
      </c>
      <c r="AA27" s="47" t="s">
        <v>1728</v>
      </c>
      <c r="AB27" s="47" t="s">
        <v>1727</v>
      </c>
      <c r="AC27" s="47" t="s">
        <v>1923</v>
      </c>
      <c r="AD27" s="47" t="s">
        <v>1920</v>
      </c>
      <c r="AE27" s="47"/>
      <c r="AF27" s="8" t="s">
        <v>2252</v>
      </c>
      <c r="AG27" s="88"/>
    </row>
    <row r="28" spans="1:33" ht="17.399999999999999">
      <c r="A28" s="30">
        <f t="shared" si="1"/>
        <v>27</v>
      </c>
      <c r="B28" s="22" t="s">
        <v>245</v>
      </c>
      <c r="C28" s="22" t="s">
        <v>362</v>
      </c>
      <c r="D28" s="12" t="s">
        <v>111</v>
      </c>
      <c r="E28" s="22" t="s">
        <v>53</v>
      </c>
      <c r="F28" s="22" t="s">
        <v>145</v>
      </c>
      <c r="G28" s="22" t="s">
        <v>441</v>
      </c>
      <c r="H28" s="28" t="s">
        <v>408</v>
      </c>
      <c r="I28" s="51" t="str">
        <f t="shared" si="2"/>
        <v>경기</v>
      </c>
      <c r="J28" s="51" t="s">
        <v>565</v>
      </c>
      <c r="K28" s="59" t="s">
        <v>256</v>
      </c>
      <c r="L28" s="52" t="s">
        <v>255</v>
      </c>
      <c r="M28" s="22" t="s">
        <v>116</v>
      </c>
      <c r="N28" s="27">
        <v>44365</v>
      </c>
      <c r="O28" s="53">
        <v>44120</v>
      </c>
      <c r="P28" s="53" t="s">
        <v>1233</v>
      </c>
      <c r="Q28" s="22" t="s">
        <v>69</v>
      </c>
      <c r="R28" s="22" t="s">
        <v>871</v>
      </c>
      <c r="S28" s="12" t="s">
        <v>871</v>
      </c>
      <c r="T28" s="22">
        <v>700</v>
      </c>
      <c r="U28" s="12">
        <v>1</v>
      </c>
      <c r="V28" s="22"/>
      <c r="W28" s="221"/>
      <c r="X28" s="22" t="s">
        <v>1482</v>
      </c>
      <c r="Y28" s="222"/>
      <c r="Z28" s="221" t="s">
        <v>2155</v>
      </c>
      <c r="AA28" s="47" t="s">
        <v>1959</v>
      </c>
      <c r="AB28" s="47" t="s">
        <v>1725</v>
      </c>
      <c r="AC28" s="47"/>
      <c r="AD28" s="47"/>
      <c r="AE28" s="47"/>
      <c r="AF28" s="8" t="s">
        <v>2249</v>
      </c>
      <c r="AG28" s="222"/>
    </row>
    <row r="29" spans="1:33" ht="31.2">
      <c r="A29" s="296">
        <f t="shared" si="1"/>
        <v>28</v>
      </c>
      <c r="B29" s="72" t="s">
        <v>292</v>
      </c>
      <c r="C29" s="91" t="s">
        <v>367</v>
      </c>
      <c r="D29" s="166" t="s">
        <v>111</v>
      </c>
      <c r="E29" s="50" t="s">
        <v>53</v>
      </c>
      <c r="F29" s="50" t="s">
        <v>222</v>
      </c>
      <c r="G29" s="50" t="s">
        <v>441</v>
      </c>
      <c r="H29" s="72" t="s">
        <v>398</v>
      </c>
      <c r="I29" s="66" t="str">
        <f t="shared" si="2"/>
        <v>경기</v>
      </c>
      <c r="J29" s="66" t="s">
        <v>565</v>
      </c>
      <c r="K29" s="312" t="s">
        <v>295</v>
      </c>
      <c r="L29" s="298" t="s">
        <v>169</v>
      </c>
      <c r="M29" s="72" t="s">
        <v>116</v>
      </c>
      <c r="N29" s="68">
        <v>44365</v>
      </c>
      <c r="O29" s="69">
        <v>44193</v>
      </c>
      <c r="P29" s="69" t="s">
        <v>1233</v>
      </c>
      <c r="Q29" s="306" t="s">
        <v>114</v>
      </c>
      <c r="R29" s="72" t="s">
        <v>40</v>
      </c>
      <c r="S29" s="50" t="s">
        <v>40</v>
      </c>
      <c r="T29" s="50">
        <v>700</v>
      </c>
      <c r="U29" s="50">
        <v>3</v>
      </c>
      <c r="V29" s="50"/>
      <c r="W29" s="300"/>
      <c r="X29" s="72" t="s">
        <v>1482</v>
      </c>
      <c r="Y29" s="303"/>
      <c r="Z29" s="300" t="s">
        <v>2150</v>
      </c>
      <c r="AA29" s="47" t="s">
        <v>1724</v>
      </c>
      <c r="AB29" s="47" t="s">
        <v>1723</v>
      </c>
      <c r="AC29" s="47" t="s">
        <v>1960</v>
      </c>
      <c r="AD29" s="47" t="s">
        <v>1918</v>
      </c>
      <c r="AE29" s="47"/>
      <c r="AF29" s="308" t="s">
        <v>2250</v>
      </c>
      <c r="AG29" s="312" t="s">
        <v>2445</v>
      </c>
    </row>
    <row r="30" spans="1:33" s="5" customFormat="1" ht="93.6">
      <c r="A30" s="290">
        <f t="shared" si="1"/>
        <v>29</v>
      </c>
      <c r="B30" s="291" t="s">
        <v>1883</v>
      </c>
      <c r="C30" s="3" t="s">
        <v>1884</v>
      </c>
      <c r="D30" s="3" t="s">
        <v>1008</v>
      </c>
      <c r="E30" s="326" t="s">
        <v>1009</v>
      </c>
      <c r="F30" s="327" t="s">
        <v>145</v>
      </c>
      <c r="G30" s="327" t="s">
        <v>441</v>
      </c>
      <c r="H30" s="328" t="s">
        <v>398</v>
      </c>
      <c r="I30" s="291" t="s">
        <v>565</v>
      </c>
      <c r="J30" s="291" t="s">
        <v>565</v>
      </c>
      <c r="K30" s="292" t="s">
        <v>1885</v>
      </c>
      <c r="L30" s="291" t="s">
        <v>1886</v>
      </c>
      <c r="M30" s="291" t="s">
        <v>116</v>
      </c>
      <c r="N30" s="293">
        <v>46237</v>
      </c>
      <c r="O30" s="293">
        <v>45894</v>
      </c>
      <c r="P30" s="3" t="s">
        <v>1273</v>
      </c>
      <c r="Q30" s="329" t="s">
        <v>114</v>
      </c>
      <c r="R30" s="365" t="s">
        <v>139</v>
      </c>
      <c r="S30" s="365" t="s">
        <v>139</v>
      </c>
      <c r="T30" s="327">
        <v>7</v>
      </c>
      <c r="U30" s="327">
        <v>3</v>
      </c>
      <c r="V30" s="373" t="s">
        <v>1887</v>
      </c>
      <c r="W30" s="292"/>
      <c r="X30" s="291" t="s">
        <v>1498</v>
      </c>
      <c r="Y30" s="292"/>
      <c r="Z30" s="291" t="s">
        <v>2504</v>
      </c>
      <c r="AA30" s="47" t="s">
        <v>2495</v>
      </c>
      <c r="AB30" s="47" t="s">
        <v>2496</v>
      </c>
      <c r="AC30" s="47" t="s">
        <v>2143</v>
      </c>
      <c r="AD30" s="47" t="s">
        <v>1918</v>
      </c>
      <c r="AE30" s="47"/>
      <c r="AF30" s="351" t="s">
        <v>2418</v>
      </c>
      <c r="AG30" s="351" t="s">
        <v>2419</v>
      </c>
    </row>
    <row r="31" spans="1:33" s="5" customFormat="1" ht="46.8">
      <c r="A31" s="74">
        <f t="shared" si="1"/>
        <v>30</v>
      </c>
      <c r="B31" s="48" t="s">
        <v>266</v>
      </c>
      <c r="C31" s="22" t="s">
        <v>430</v>
      </c>
      <c r="D31" s="22" t="s">
        <v>111</v>
      </c>
      <c r="E31" s="22" t="s">
        <v>53</v>
      </c>
      <c r="F31" s="22" t="s">
        <v>222</v>
      </c>
      <c r="G31" s="22" t="s">
        <v>442</v>
      </c>
      <c r="H31" s="48" t="s">
        <v>752</v>
      </c>
      <c r="I31" s="51" t="str">
        <f t="shared" ref="I31:I46" si="3">LEFT(K31,2)</f>
        <v>강원</v>
      </c>
      <c r="J31" s="51" t="s">
        <v>566</v>
      </c>
      <c r="K31" s="75" t="s">
        <v>267</v>
      </c>
      <c r="L31" s="76" t="s">
        <v>302</v>
      </c>
      <c r="M31" s="48" t="s">
        <v>159</v>
      </c>
      <c r="N31" s="27">
        <v>44411</v>
      </c>
      <c r="O31" s="53">
        <v>44169</v>
      </c>
      <c r="P31" s="53" t="s">
        <v>1233</v>
      </c>
      <c r="Q31" s="48" t="s">
        <v>69</v>
      </c>
      <c r="R31" s="121" t="s">
        <v>124</v>
      </c>
      <c r="S31" s="16" t="s">
        <v>417</v>
      </c>
      <c r="T31" s="22">
        <v>700</v>
      </c>
      <c r="U31" s="28">
        <v>1</v>
      </c>
      <c r="V31" s="28"/>
      <c r="W31" s="248"/>
      <c r="X31" s="48" t="s">
        <v>1482</v>
      </c>
      <c r="Y31" s="249"/>
      <c r="Z31" s="248" t="s">
        <v>2155</v>
      </c>
      <c r="AA31" s="393" t="s">
        <v>1722</v>
      </c>
      <c r="AB31" s="393" t="s">
        <v>2146</v>
      </c>
      <c r="AC31" s="393" t="s">
        <v>2147</v>
      </c>
      <c r="AD31" s="393">
        <v>502</v>
      </c>
      <c r="AE31" s="394" t="s">
        <v>2288</v>
      </c>
      <c r="AF31" s="156" t="s">
        <v>2448</v>
      </c>
      <c r="AG31" s="361" t="s">
        <v>2449</v>
      </c>
    </row>
    <row r="32" spans="1:33" ht="17.399999999999999">
      <c r="A32" s="144">
        <f t="shared" si="1"/>
        <v>31</v>
      </c>
      <c r="B32" s="171" t="s">
        <v>317</v>
      </c>
      <c r="C32" s="171" t="s">
        <v>329</v>
      </c>
      <c r="D32" s="178" t="s">
        <v>1281</v>
      </c>
      <c r="E32" s="171" t="s">
        <v>113</v>
      </c>
      <c r="F32" s="171" t="s">
        <v>321</v>
      </c>
      <c r="G32" s="171" t="s">
        <v>441</v>
      </c>
      <c r="H32" s="171" t="s">
        <v>869</v>
      </c>
      <c r="I32" s="146" t="str">
        <f t="shared" si="3"/>
        <v>울산</v>
      </c>
      <c r="J32" s="146" t="s">
        <v>564</v>
      </c>
      <c r="K32" s="172" t="s">
        <v>1878</v>
      </c>
      <c r="L32" s="174" t="s">
        <v>323</v>
      </c>
      <c r="M32" s="171" t="s">
        <v>51</v>
      </c>
      <c r="N32" s="184">
        <v>44373</v>
      </c>
      <c r="O32" s="185">
        <v>44278</v>
      </c>
      <c r="P32" s="185" t="s">
        <v>1233</v>
      </c>
      <c r="Q32" s="113" t="s">
        <v>114</v>
      </c>
      <c r="R32" s="171" t="s">
        <v>869</v>
      </c>
      <c r="S32" s="162" t="s">
        <v>119</v>
      </c>
      <c r="T32" s="171">
        <v>350</v>
      </c>
      <c r="U32" s="162">
        <v>1</v>
      </c>
      <c r="V32" s="113" t="s">
        <v>1436</v>
      </c>
      <c r="W32" s="254"/>
      <c r="X32" s="171" t="s">
        <v>1502</v>
      </c>
      <c r="Y32" s="262"/>
      <c r="Z32" s="261" t="s">
        <v>2155</v>
      </c>
      <c r="AA32" s="261" t="s">
        <v>1721</v>
      </c>
      <c r="AB32" s="261" t="s">
        <v>1720</v>
      </c>
      <c r="AC32" s="261"/>
      <c r="AD32" s="261"/>
      <c r="AE32" s="261"/>
      <c r="AF32" s="215" t="s">
        <v>1555</v>
      </c>
      <c r="AG32" s="175"/>
    </row>
    <row r="33" spans="1:89" s="49" customFormat="1" ht="17.399999999999999">
      <c r="A33" s="30">
        <f t="shared" si="1"/>
        <v>32</v>
      </c>
      <c r="B33" s="22" t="s">
        <v>229</v>
      </c>
      <c r="C33" s="22" t="s">
        <v>360</v>
      </c>
      <c r="D33" s="22" t="s">
        <v>111</v>
      </c>
      <c r="E33" s="22" t="s">
        <v>53</v>
      </c>
      <c r="F33" s="22" t="s">
        <v>145</v>
      </c>
      <c r="G33" s="22" t="s">
        <v>441</v>
      </c>
      <c r="H33" s="22" t="s">
        <v>409</v>
      </c>
      <c r="I33" s="51" t="str">
        <f t="shared" si="3"/>
        <v>충남</v>
      </c>
      <c r="J33" s="51" t="s">
        <v>569</v>
      </c>
      <c r="K33" s="20" t="s">
        <v>231</v>
      </c>
      <c r="L33" s="52" t="s">
        <v>298</v>
      </c>
      <c r="M33" s="22" t="s">
        <v>101</v>
      </c>
      <c r="N33" s="27">
        <v>44398</v>
      </c>
      <c r="O33" s="53">
        <v>44041</v>
      </c>
      <c r="P33" s="53" t="s">
        <v>1233</v>
      </c>
      <c r="Q33" s="28" t="s">
        <v>69</v>
      </c>
      <c r="R33" s="14" t="s">
        <v>124</v>
      </c>
      <c r="S33" s="16" t="s">
        <v>417</v>
      </c>
      <c r="T33" s="28">
        <v>700</v>
      </c>
      <c r="U33" s="12">
        <v>1</v>
      </c>
      <c r="V33" s="28"/>
      <c r="W33" s="221"/>
      <c r="X33" s="22" t="s">
        <v>1482</v>
      </c>
      <c r="Y33" s="222"/>
      <c r="Z33" s="221" t="s">
        <v>2155</v>
      </c>
      <c r="AA33" s="47" t="s">
        <v>1719</v>
      </c>
      <c r="AB33" s="47" t="s">
        <v>1718</v>
      </c>
      <c r="AC33" s="47"/>
      <c r="AD33" s="47"/>
      <c r="AE33" s="47"/>
      <c r="AF33" s="8" t="s">
        <v>2255</v>
      </c>
      <c r="AG33" s="222"/>
    </row>
    <row r="34" spans="1:89" s="311" customFormat="1" ht="31.2">
      <c r="A34" s="74">
        <f t="shared" si="1"/>
        <v>33</v>
      </c>
      <c r="B34" s="48" t="s">
        <v>264</v>
      </c>
      <c r="C34" s="22" t="s">
        <v>363</v>
      </c>
      <c r="D34" s="33" t="s">
        <v>424</v>
      </c>
      <c r="E34" s="33" t="s">
        <v>712</v>
      </c>
      <c r="F34" s="22" t="s">
        <v>83</v>
      </c>
      <c r="G34" s="22" t="s">
        <v>442</v>
      </c>
      <c r="H34" s="48" t="s">
        <v>431</v>
      </c>
      <c r="I34" s="51" t="str">
        <f t="shared" si="3"/>
        <v>강원</v>
      </c>
      <c r="J34" s="51" t="s">
        <v>566</v>
      </c>
      <c r="K34" s="75" t="s">
        <v>421</v>
      </c>
      <c r="L34" s="76" t="s">
        <v>263</v>
      </c>
      <c r="M34" s="48" t="s">
        <v>131</v>
      </c>
      <c r="N34" s="195">
        <v>44397</v>
      </c>
      <c r="O34" s="196">
        <v>44147</v>
      </c>
      <c r="P34" s="196" t="s">
        <v>1233</v>
      </c>
      <c r="Q34" s="48" t="s">
        <v>69</v>
      </c>
      <c r="R34" s="74" t="s">
        <v>870</v>
      </c>
      <c r="S34" s="198" t="s">
        <v>417</v>
      </c>
      <c r="T34" s="191">
        <v>700</v>
      </c>
      <c r="U34" s="191">
        <v>1</v>
      </c>
      <c r="V34" s="206" t="s">
        <v>1355</v>
      </c>
      <c r="W34" s="248"/>
      <c r="X34" s="48" t="s">
        <v>1482</v>
      </c>
      <c r="Y34" s="249"/>
      <c r="Z34" s="248" t="s">
        <v>2150</v>
      </c>
      <c r="AA34" s="393" t="s">
        <v>1963</v>
      </c>
      <c r="AB34" s="393" t="s">
        <v>1964</v>
      </c>
      <c r="AC34" s="393" t="s">
        <v>1940</v>
      </c>
      <c r="AD34" s="393" t="s">
        <v>1920</v>
      </c>
      <c r="AE34" s="393"/>
      <c r="AF34" s="156" t="s">
        <v>2447</v>
      </c>
      <c r="AG34" s="249" t="s">
        <v>2325</v>
      </c>
    </row>
    <row r="35" spans="1:89" ht="31.2">
      <c r="A35" s="30">
        <f t="shared" si="1"/>
        <v>34</v>
      </c>
      <c r="B35" s="28" t="s">
        <v>293</v>
      </c>
      <c r="C35" s="22" t="s">
        <v>368</v>
      </c>
      <c r="D35" s="22" t="s">
        <v>111</v>
      </c>
      <c r="E35" s="28" t="s">
        <v>53</v>
      </c>
      <c r="F35" s="22" t="s">
        <v>145</v>
      </c>
      <c r="G35" s="22" t="s">
        <v>441</v>
      </c>
      <c r="H35" s="22" t="s">
        <v>408</v>
      </c>
      <c r="I35" s="51" t="str">
        <f t="shared" si="3"/>
        <v>충남</v>
      </c>
      <c r="J35" s="51" t="s">
        <v>569</v>
      </c>
      <c r="K35" s="42" t="s">
        <v>294</v>
      </c>
      <c r="L35" s="52" t="s">
        <v>315</v>
      </c>
      <c r="M35" s="22" t="s">
        <v>101</v>
      </c>
      <c r="N35" s="27">
        <v>44405</v>
      </c>
      <c r="O35" s="53">
        <v>44194</v>
      </c>
      <c r="P35" s="53" t="s">
        <v>1235</v>
      </c>
      <c r="Q35" s="22" t="s">
        <v>69</v>
      </c>
      <c r="R35" s="22" t="s">
        <v>102</v>
      </c>
      <c r="S35" s="94" t="s">
        <v>1238</v>
      </c>
      <c r="T35" s="22">
        <v>700</v>
      </c>
      <c r="U35" s="14">
        <v>2</v>
      </c>
      <c r="V35" s="22"/>
      <c r="W35" s="221"/>
      <c r="X35" s="22" t="s">
        <v>1482</v>
      </c>
      <c r="Y35" s="222"/>
      <c r="Z35" s="221" t="s">
        <v>2150</v>
      </c>
      <c r="AA35" s="47" t="s">
        <v>1965</v>
      </c>
      <c r="AB35" s="47" t="s">
        <v>1717</v>
      </c>
      <c r="AC35" s="47"/>
      <c r="AD35" s="47"/>
      <c r="AE35" s="47"/>
      <c r="AF35" s="8" t="s">
        <v>2258</v>
      </c>
      <c r="AG35" s="88"/>
    </row>
    <row r="36" spans="1:89" s="49" customFormat="1" ht="62.4">
      <c r="A36" s="30">
        <f t="shared" si="1"/>
        <v>35</v>
      </c>
      <c r="B36" s="22" t="s">
        <v>2153</v>
      </c>
      <c r="C36" s="33" t="s">
        <v>364</v>
      </c>
      <c r="D36" s="56" t="s">
        <v>424</v>
      </c>
      <c r="E36" s="33" t="s">
        <v>713</v>
      </c>
      <c r="F36" s="22" t="s">
        <v>145</v>
      </c>
      <c r="G36" s="22" t="s">
        <v>441</v>
      </c>
      <c r="H36" s="22" t="s">
        <v>439</v>
      </c>
      <c r="I36" s="51" t="str">
        <f t="shared" si="3"/>
        <v>경남</v>
      </c>
      <c r="J36" s="51" t="s">
        <v>564</v>
      </c>
      <c r="K36" s="55" t="s">
        <v>247</v>
      </c>
      <c r="L36" s="52" t="s">
        <v>301</v>
      </c>
      <c r="M36" s="28" t="s">
        <v>55</v>
      </c>
      <c r="N36" s="27">
        <v>44351</v>
      </c>
      <c r="O36" s="27" t="s">
        <v>812</v>
      </c>
      <c r="P36" s="27" t="s">
        <v>1233</v>
      </c>
      <c r="Q36" s="22" t="s">
        <v>69</v>
      </c>
      <c r="R36" s="22" t="s">
        <v>873</v>
      </c>
      <c r="S36" s="12" t="s">
        <v>378</v>
      </c>
      <c r="T36" s="22">
        <v>700</v>
      </c>
      <c r="U36" s="12">
        <v>2</v>
      </c>
      <c r="V36" s="33" t="s">
        <v>1352</v>
      </c>
      <c r="W36" s="221"/>
      <c r="X36" s="22" t="s">
        <v>1482</v>
      </c>
      <c r="Y36" s="222"/>
      <c r="Z36" s="221" t="s">
        <v>2150</v>
      </c>
      <c r="AA36" s="47" t="s">
        <v>1957</v>
      </c>
      <c r="AB36" s="47" t="s">
        <v>1958</v>
      </c>
      <c r="AC36" s="47" t="s">
        <v>2247</v>
      </c>
      <c r="AD36" s="47">
        <v>504</v>
      </c>
      <c r="AE36" s="47"/>
      <c r="AF36" s="8" t="s">
        <v>2238</v>
      </c>
      <c r="AG36" s="88" t="s">
        <v>1559</v>
      </c>
    </row>
    <row r="37" spans="1:89" s="49" customFormat="1" ht="17.399999999999999">
      <c r="A37" s="30">
        <f t="shared" si="1"/>
        <v>36</v>
      </c>
      <c r="B37" s="22" t="s">
        <v>2161</v>
      </c>
      <c r="C37" s="22" t="s">
        <v>371</v>
      </c>
      <c r="D37" s="22" t="s">
        <v>111</v>
      </c>
      <c r="E37" s="22" t="s">
        <v>53</v>
      </c>
      <c r="F37" s="22" t="s">
        <v>83</v>
      </c>
      <c r="G37" s="22" t="s">
        <v>442</v>
      </c>
      <c r="H37" s="28" t="s">
        <v>549</v>
      </c>
      <c r="I37" s="51" t="str">
        <f t="shared" si="3"/>
        <v>경남</v>
      </c>
      <c r="J37" s="51" t="s">
        <v>564</v>
      </c>
      <c r="K37" s="55" t="s">
        <v>274</v>
      </c>
      <c r="L37" s="26" t="s">
        <v>305</v>
      </c>
      <c r="M37" s="22" t="s">
        <v>55</v>
      </c>
      <c r="N37" s="27">
        <v>44456</v>
      </c>
      <c r="O37" s="53">
        <v>44181</v>
      </c>
      <c r="P37" s="53" t="s">
        <v>1233</v>
      </c>
      <c r="Q37" s="22" t="s">
        <v>69</v>
      </c>
      <c r="R37" s="28" t="s">
        <v>139</v>
      </c>
      <c r="S37" s="7" t="s">
        <v>423</v>
      </c>
      <c r="T37" s="22">
        <v>700</v>
      </c>
      <c r="U37" s="14">
        <v>1</v>
      </c>
      <c r="V37" s="28"/>
      <c r="W37" s="221"/>
      <c r="X37" s="22" t="s">
        <v>1482</v>
      </c>
      <c r="Y37" s="222"/>
      <c r="Z37" s="221" t="s">
        <v>2151</v>
      </c>
      <c r="AA37" s="47" t="s">
        <v>1716</v>
      </c>
      <c r="AB37" s="47" t="s">
        <v>1969</v>
      </c>
      <c r="AC37" s="47"/>
      <c r="AD37" s="47"/>
      <c r="AE37" s="47"/>
      <c r="AF37" s="8" t="s">
        <v>2262</v>
      </c>
      <c r="AG37" s="220"/>
    </row>
    <row r="38" spans="1:89" ht="34.799999999999997">
      <c r="A38" s="30">
        <f t="shared" si="1"/>
        <v>37</v>
      </c>
      <c r="B38" s="13" t="s">
        <v>2159</v>
      </c>
      <c r="C38" s="13" t="s">
        <v>333</v>
      </c>
      <c r="D38" s="30" t="s">
        <v>143</v>
      </c>
      <c r="E38" s="13" t="s">
        <v>4</v>
      </c>
      <c r="F38" s="16" t="s">
        <v>145</v>
      </c>
      <c r="G38" s="16" t="s">
        <v>441</v>
      </c>
      <c r="H38" s="13" t="s">
        <v>400</v>
      </c>
      <c r="I38" s="51" t="str">
        <f t="shared" si="3"/>
        <v>대구</v>
      </c>
      <c r="J38" s="51" t="s">
        <v>564</v>
      </c>
      <c r="K38" s="92" t="s">
        <v>29</v>
      </c>
      <c r="L38" s="13" t="s">
        <v>178</v>
      </c>
      <c r="M38" s="13" t="s">
        <v>110</v>
      </c>
      <c r="N38" s="25">
        <v>43055</v>
      </c>
      <c r="O38" s="25" t="s">
        <v>792</v>
      </c>
      <c r="P38" s="25" t="s">
        <v>1233</v>
      </c>
      <c r="Q38" s="94" t="s">
        <v>69</v>
      </c>
      <c r="R38" s="30" t="s">
        <v>871</v>
      </c>
      <c r="S38" s="217" t="s">
        <v>1234</v>
      </c>
      <c r="T38" s="13">
        <v>700</v>
      </c>
      <c r="U38" s="218">
        <v>2</v>
      </c>
      <c r="V38" s="228" t="s">
        <v>1342</v>
      </c>
      <c r="W38" s="7"/>
      <c r="X38" s="22" t="s">
        <v>1482</v>
      </c>
      <c r="Y38" s="88"/>
      <c r="Z38" s="7" t="s">
        <v>2151</v>
      </c>
      <c r="AA38" s="47" t="s">
        <v>1715</v>
      </c>
      <c r="AB38" s="357" t="s">
        <v>2202</v>
      </c>
      <c r="AC38" s="47"/>
      <c r="AD38" s="47"/>
      <c r="AE38" s="47"/>
      <c r="AF38" s="8" t="s">
        <v>2203</v>
      </c>
      <c r="AG38" s="222" t="s">
        <v>1484</v>
      </c>
    </row>
    <row r="39" spans="1:89" s="49" customFormat="1" ht="31.2">
      <c r="A39" s="74">
        <f t="shared" si="1"/>
        <v>38</v>
      </c>
      <c r="B39" s="118" t="s">
        <v>2157</v>
      </c>
      <c r="C39" s="118" t="s">
        <v>396</v>
      </c>
      <c r="D39" s="74" t="s">
        <v>111</v>
      </c>
      <c r="E39" s="159" t="s">
        <v>4</v>
      </c>
      <c r="F39" s="123" t="s">
        <v>145</v>
      </c>
      <c r="G39" s="123" t="s">
        <v>441</v>
      </c>
      <c r="H39" s="123" t="s">
        <v>409</v>
      </c>
      <c r="I39" s="86" t="str">
        <f t="shared" si="3"/>
        <v>인천</v>
      </c>
      <c r="J39" s="86" t="s">
        <v>571</v>
      </c>
      <c r="K39" s="158" t="s">
        <v>74</v>
      </c>
      <c r="L39" s="157" t="s">
        <v>198</v>
      </c>
      <c r="M39" s="159" t="s">
        <v>6</v>
      </c>
      <c r="N39" s="120">
        <v>44184</v>
      </c>
      <c r="O39" s="120" t="s">
        <v>830</v>
      </c>
      <c r="P39" s="120" t="s">
        <v>1233</v>
      </c>
      <c r="Q39" s="123" t="s">
        <v>77</v>
      </c>
      <c r="R39" s="123" t="s">
        <v>869</v>
      </c>
      <c r="S39" s="74" t="s">
        <v>1237</v>
      </c>
      <c r="T39" s="123" t="s">
        <v>67</v>
      </c>
      <c r="U39" s="232">
        <v>2</v>
      </c>
      <c r="V39" s="247" t="s">
        <v>1351</v>
      </c>
      <c r="W39" s="294"/>
      <c r="X39" s="48" t="s">
        <v>1482</v>
      </c>
      <c r="Y39" s="295"/>
      <c r="Z39" s="294" t="s">
        <v>2151</v>
      </c>
      <c r="AA39" s="393" t="s">
        <v>1714</v>
      </c>
      <c r="AB39" s="393" t="s">
        <v>1713</v>
      </c>
      <c r="AC39" s="393" t="s">
        <v>1927</v>
      </c>
      <c r="AD39" s="393" t="s">
        <v>1920</v>
      </c>
      <c r="AE39" s="393"/>
      <c r="AF39" s="156" t="s">
        <v>2435</v>
      </c>
      <c r="AG39" s="161" t="s">
        <v>2436</v>
      </c>
    </row>
    <row r="40" spans="1:89" s="151" customFormat="1" ht="34.799999999999997">
      <c r="A40" s="30">
        <f t="shared" si="1"/>
        <v>39</v>
      </c>
      <c r="B40" s="22" t="s">
        <v>446</v>
      </c>
      <c r="C40" s="22" t="s">
        <v>447</v>
      </c>
      <c r="D40" s="22" t="s">
        <v>111</v>
      </c>
      <c r="E40" s="22" t="s">
        <v>53</v>
      </c>
      <c r="F40" s="22" t="s">
        <v>145</v>
      </c>
      <c r="G40" s="14" t="s">
        <v>441</v>
      </c>
      <c r="H40" s="78" t="s">
        <v>402</v>
      </c>
      <c r="I40" s="51" t="str">
        <f t="shared" si="3"/>
        <v>광주</v>
      </c>
      <c r="J40" s="51" t="s">
        <v>568</v>
      </c>
      <c r="K40" s="42" t="s">
        <v>827</v>
      </c>
      <c r="L40" s="52" t="s">
        <v>448</v>
      </c>
      <c r="M40" s="22" t="s">
        <v>134</v>
      </c>
      <c r="N40" s="27">
        <v>44516</v>
      </c>
      <c r="O40" s="53">
        <v>44229</v>
      </c>
      <c r="P40" s="53" t="s">
        <v>1233</v>
      </c>
      <c r="Q40" s="22" t="s">
        <v>69</v>
      </c>
      <c r="R40" s="22" t="s">
        <v>106</v>
      </c>
      <c r="S40" s="14" t="s">
        <v>1242</v>
      </c>
      <c r="T40" s="22">
        <v>700</v>
      </c>
      <c r="U40" s="14">
        <v>1</v>
      </c>
      <c r="V40" s="28" t="s">
        <v>1361</v>
      </c>
      <c r="W40" s="221"/>
      <c r="X40" s="22" t="s">
        <v>1482</v>
      </c>
      <c r="Y40" s="222"/>
      <c r="Z40" s="221" t="s">
        <v>2155</v>
      </c>
      <c r="AA40" s="47" t="s">
        <v>1712</v>
      </c>
      <c r="AB40" s="47" t="s">
        <v>1711</v>
      </c>
      <c r="AC40" s="47" t="s">
        <v>1972</v>
      </c>
      <c r="AD40" s="47" t="s">
        <v>1920</v>
      </c>
      <c r="AE40" s="357" t="s">
        <v>2289</v>
      </c>
      <c r="AF40" s="32" t="s">
        <v>2453</v>
      </c>
      <c r="AG40" s="220" t="s">
        <v>2454</v>
      </c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49"/>
      <c r="BF40" s="49"/>
      <c r="BG40" s="49"/>
      <c r="BH40" s="49"/>
      <c r="BI40" s="49"/>
      <c r="BJ40" s="49"/>
      <c r="BK40" s="49"/>
      <c r="BL40" s="49"/>
      <c r="BM40" s="49"/>
      <c r="BN40" s="49"/>
      <c r="BO40" s="49"/>
      <c r="BP40" s="49"/>
      <c r="BQ40" s="49"/>
      <c r="BR40" s="49"/>
      <c r="BS40" s="49"/>
      <c r="BT40" s="49"/>
      <c r="BU40" s="49"/>
      <c r="BV40" s="49"/>
      <c r="BW40" s="49"/>
      <c r="BX40" s="49"/>
      <c r="BY40" s="49"/>
      <c r="BZ40" s="49"/>
      <c r="CA40" s="49"/>
      <c r="CB40" s="49"/>
      <c r="CC40" s="49"/>
      <c r="CD40" s="49"/>
      <c r="CE40" s="49"/>
      <c r="CF40" s="49"/>
      <c r="CG40" s="49"/>
      <c r="CH40" s="49"/>
      <c r="CI40" s="49"/>
      <c r="CJ40" s="49"/>
      <c r="CK40" s="49"/>
    </row>
    <row r="41" spans="1:89" ht="31.2">
      <c r="A41" s="74">
        <f t="shared" si="1"/>
        <v>40</v>
      </c>
      <c r="B41" s="48" t="s">
        <v>420</v>
      </c>
      <c r="C41" s="82" t="s">
        <v>354</v>
      </c>
      <c r="D41" s="48" t="s">
        <v>111</v>
      </c>
      <c r="E41" s="48" t="s">
        <v>53</v>
      </c>
      <c r="F41" s="48" t="s">
        <v>145</v>
      </c>
      <c r="G41" s="48" t="s">
        <v>441</v>
      </c>
      <c r="H41" s="48" t="s">
        <v>409</v>
      </c>
      <c r="I41" s="86" t="str">
        <f t="shared" si="3"/>
        <v>인천</v>
      </c>
      <c r="J41" s="86" t="s">
        <v>571</v>
      </c>
      <c r="K41" s="75" t="s">
        <v>422</v>
      </c>
      <c r="L41" s="80" t="s">
        <v>300</v>
      </c>
      <c r="M41" s="48" t="s">
        <v>242</v>
      </c>
      <c r="N41" s="115">
        <v>44390</v>
      </c>
      <c r="O41" s="128">
        <v>44088</v>
      </c>
      <c r="P41" s="128" t="s">
        <v>1233</v>
      </c>
      <c r="Q41" s="48" t="s">
        <v>69</v>
      </c>
      <c r="R41" s="48" t="s">
        <v>40</v>
      </c>
      <c r="S41" s="121" t="s">
        <v>1242</v>
      </c>
      <c r="T41" s="48">
        <v>700</v>
      </c>
      <c r="U41" s="121">
        <v>2</v>
      </c>
      <c r="V41" s="48"/>
      <c r="W41" s="248"/>
      <c r="X41" s="48" t="s">
        <v>1482</v>
      </c>
      <c r="Y41" s="249"/>
      <c r="Z41" s="248" t="s">
        <v>2150</v>
      </c>
      <c r="AA41" s="393" t="s">
        <v>1962</v>
      </c>
      <c r="AB41" s="393" t="s">
        <v>1710</v>
      </c>
      <c r="AC41" s="393"/>
      <c r="AD41" s="393"/>
      <c r="AE41" s="393"/>
      <c r="AF41" s="249"/>
      <c r="AG41" s="75" t="s">
        <v>1854</v>
      </c>
    </row>
    <row r="42" spans="1:89" ht="34.799999999999997">
      <c r="A42" s="74">
        <f t="shared" si="1"/>
        <v>41</v>
      </c>
      <c r="B42" s="48" t="s">
        <v>457</v>
      </c>
      <c r="C42" s="48" t="s">
        <v>1301</v>
      </c>
      <c r="D42" s="48" t="s">
        <v>111</v>
      </c>
      <c r="E42" s="48" t="s">
        <v>53</v>
      </c>
      <c r="F42" s="48" t="s">
        <v>145</v>
      </c>
      <c r="G42" s="48" t="s">
        <v>441</v>
      </c>
      <c r="H42" s="48" t="s">
        <v>545</v>
      </c>
      <c r="I42" s="86" t="str">
        <f t="shared" si="3"/>
        <v>서울</v>
      </c>
      <c r="J42" s="86" t="s">
        <v>557</v>
      </c>
      <c r="K42" s="75" t="s">
        <v>458</v>
      </c>
      <c r="L42" s="80" t="s">
        <v>459</v>
      </c>
      <c r="M42" s="48" t="s">
        <v>59</v>
      </c>
      <c r="N42" s="115">
        <v>44526</v>
      </c>
      <c r="O42" s="128">
        <v>44398</v>
      </c>
      <c r="P42" s="128" t="s">
        <v>1233</v>
      </c>
      <c r="Q42" s="48" t="s">
        <v>69</v>
      </c>
      <c r="R42" s="118" t="s">
        <v>869</v>
      </c>
      <c r="S42" s="48" t="s">
        <v>460</v>
      </c>
      <c r="T42" s="48">
        <v>700</v>
      </c>
      <c r="U42" s="74">
        <v>1</v>
      </c>
      <c r="V42" s="63" t="s">
        <v>1437</v>
      </c>
      <c r="W42" s="248"/>
      <c r="X42" s="48" t="s">
        <v>1482</v>
      </c>
      <c r="Y42" s="249"/>
      <c r="Z42" s="248" t="s">
        <v>2151</v>
      </c>
      <c r="AA42" s="393" t="s">
        <v>1975</v>
      </c>
      <c r="AB42" s="394" t="s">
        <v>2499</v>
      </c>
      <c r="AC42" s="394" t="s">
        <v>2509</v>
      </c>
      <c r="AD42" s="393" t="s">
        <v>2510</v>
      </c>
      <c r="AE42" s="394" t="s">
        <v>2508</v>
      </c>
      <c r="AF42" s="233" t="s">
        <v>2457</v>
      </c>
      <c r="AG42" s="161"/>
    </row>
    <row r="43" spans="1:89" s="64" customFormat="1" ht="52.2">
      <c r="A43" s="30">
        <f t="shared" si="1"/>
        <v>42</v>
      </c>
      <c r="B43" s="22" t="s">
        <v>453</v>
      </c>
      <c r="C43" s="22" t="s">
        <v>454</v>
      </c>
      <c r="D43" s="22" t="s">
        <v>111</v>
      </c>
      <c r="E43" s="28" t="s">
        <v>53</v>
      </c>
      <c r="F43" s="22" t="s">
        <v>145</v>
      </c>
      <c r="G43" s="22" t="s">
        <v>441</v>
      </c>
      <c r="H43" s="7" t="s">
        <v>406</v>
      </c>
      <c r="I43" s="51" t="str">
        <f t="shared" si="3"/>
        <v>경남</v>
      </c>
      <c r="J43" s="51" t="s">
        <v>564</v>
      </c>
      <c r="K43" s="58" t="s">
        <v>455</v>
      </c>
      <c r="L43" s="52" t="s">
        <v>456</v>
      </c>
      <c r="M43" s="22" t="s">
        <v>55</v>
      </c>
      <c r="N43" s="27">
        <v>44518</v>
      </c>
      <c r="O43" s="53">
        <v>44329</v>
      </c>
      <c r="P43" s="53" t="s">
        <v>1233</v>
      </c>
      <c r="Q43" s="22" t="s">
        <v>69</v>
      </c>
      <c r="R43" s="14" t="s">
        <v>871</v>
      </c>
      <c r="S43" s="16" t="s">
        <v>871</v>
      </c>
      <c r="T43" s="22">
        <v>700</v>
      </c>
      <c r="U43" s="94">
        <v>1</v>
      </c>
      <c r="V43" s="22"/>
      <c r="W43" s="221"/>
      <c r="X43" s="22" t="s">
        <v>1482</v>
      </c>
      <c r="Y43" s="222"/>
      <c r="Z43" s="221" t="s">
        <v>2155</v>
      </c>
      <c r="AA43" s="47" t="s">
        <v>1973</v>
      </c>
      <c r="AB43" s="47" t="s">
        <v>1974</v>
      </c>
      <c r="AC43" s="47" t="s">
        <v>1923</v>
      </c>
      <c r="AD43" s="47" t="s">
        <v>1920</v>
      </c>
      <c r="AE43" s="47"/>
      <c r="AF43" s="234" t="s">
        <v>2455</v>
      </c>
      <c r="AG43" s="234" t="s">
        <v>2456</v>
      </c>
    </row>
    <row r="44" spans="1:89" ht="31.2">
      <c r="A44" s="296">
        <f t="shared" si="1"/>
        <v>43</v>
      </c>
      <c r="B44" s="72" t="s">
        <v>2162</v>
      </c>
      <c r="C44" s="50" t="s">
        <v>376</v>
      </c>
      <c r="D44" s="50" t="s">
        <v>111</v>
      </c>
      <c r="E44" s="50" t="s">
        <v>53</v>
      </c>
      <c r="F44" s="50" t="s">
        <v>136</v>
      </c>
      <c r="G44" s="50" t="s">
        <v>441</v>
      </c>
      <c r="H44" s="72" t="s">
        <v>548</v>
      </c>
      <c r="I44" s="66" t="str">
        <f t="shared" si="3"/>
        <v>경남</v>
      </c>
      <c r="J44" s="66" t="s">
        <v>564</v>
      </c>
      <c r="K44" s="297" t="s">
        <v>1882</v>
      </c>
      <c r="L44" s="298" t="s">
        <v>310</v>
      </c>
      <c r="M44" s="72" t="s">
        <v>55</v>
      </c>
      <c r="N44" s="68">
        <v>44442</v>
      </c>
      <c r="O44" s="68" t="s">
        <v>1072</v>
      </c>
      <c r="P44" s="68" t="s">
        <v>1233</v>
      </c>
      <c r="Q44" s="72" t="s">
        <v>69</v>
      </c>
      <c r="R44" s="72" t="s">
        <v>871</v>
      </c>
      <c r="S44" s="85" t="s">
        <v>871</v>
      </c>
      <c r="T44" s="50">
        <v>700</v>
      </c>
      <c r="U44" s="85">
        <v>2</v>
      </c>
      <c r="V44" s="60" t="s">
        <v>1358</v>
      </c>
      <c r="W44" s="72"/>
      <c r="X44" s="72" t="s">
        <v>1482</v>
      </c>
      <c r="Y44" s="72"/>
      <c r="Z44" s="72" t="s">
        <v>2151</v>
      </c>
      <c r="AA44" s="47" t="s">
        <v>1708</v>
      </c>
      <c r="AB44" s="47" t="s">
        <v>1968</v>
      </c>
      <c r="AC44" s="47" t="s">
        <v>1923</v>
      </c>
      <c r="AD44" s="47" t="s">
        <v>1920</v>
      </c>
      <c r="AE44" s="47"/>
      <c r="AF44" s="302" t="s">
        <v>2261</v>
      </c>
      <c r="AG44" s="307"/>
    </row>
    <row r="45" spans="1:89" s="54" customFormat="1" ht="17.399999999999999">
      <c r="A45" s="30">
        <f t="shared" si="1"/>
        <v>44</v>
      </c>
      <c r="B45" s="22" t="s">
        <v>479</v>
      </c>
      <c r="C45" s="22" t="s">
        <v>328</v>
      </c>
      <c r="D45" s="22" t="s">
        <v>111</v>
      </c>
      <c r="E45" s="22" t="s">
        <v>53</v>
      </c>
      <c r="F45" s="22" t="s">
        <v>145</v>
      </c>
      <c r="G45" s="22" t="s">
        <v>441</v>
      </c>
      <c r="H45" s="22" t="s">
        <v>408</v>
      </c>
      <c r="I45" s="51" t="str">
        <f t="shared" si="3"/>
        <v>전북</v>
      </c>
      <c r="J45" s="51" t="s">
        <v>568</v>
      </c>
      <c r="K45" s="62" t="s">
        <v>567</v>
      </c>
      <c r="L45" s="52" t="s">
        <v>480</v>
      </c>
      <c r="M45" s="22" t="s">
        <v>86</v>
      </c>
      <c r="N45" s="27">
        <v>44544</v>
      </c>
      <c r="O45" s="53">
        <v>44260</v>
      </c>
      <c r="P45" s="53" t="s">
        <v>1233</v>
      </c>
      <c r="Q45" s="22" t="s">
        <v>69</v>
      </c>
      <c r="R45" s="22" t="s">
        <v>871</v>
      </c>
      <c r="S45" s="14" t="s">
        <v>871</v>
      </c>
      <c r="T45" s="22">
        <v>700</v>
      </c>
      <c r="U45" s="14">
        <v>2</v>
      </c>
      <c r="V45" s="22"/>
      <c r="W45" s="221"/>
      <c r="X45" s="22" t="s">
        <v>1482</v>
      </c>
      <c r="Y45" s="222"/>
      <c r="Z45" s="221" t="s">
        <v>2155</v>
      </c>
      <c r="AA45" s="47" t="s">
        <v>1707</v>
      </c>
      <c r="AB45" s="47" t="s">
        <v>1706</v>
      </c>
      <c r="AC45" s="47"/>
      <c r="AD45" s="47"/>
      <c r="AE45" s="47"/>
      <c r="AF45" s="8" t="s">
        <v>2267</v>
      </c>
      <c r="AG45" s="22"/>
    </row>
    <row r="46" spans="1:89" s="81" customFormat="1" ht="17.399999999999999">
      <c r="A46" s="30">
        <f t="shared" si="1"/>
        <v>45</v>
      </c>
      <c r="B46" s="22" t="s">
        <v>228</v>
      </c>
      <c r="C46" s="22" t="s">
        <v>356</v>
      </c>
      <c r="D46" s="22" t="s">
        <v>111</v>
      </c>
      <c r="E46" s="22" t="s">
        <v>53</v>
      </c>
      <c r="F46" s="22" t="s">
        <v>145</v>
      </c>
      <c r="G46" s="22" t="s">
        <v>441</v>
      </c>
      <c r="H46" s="22" t="s">
        <v>750</v>
      </c>
      <c r="I46" s="51" t="str">
        <f t="shared" si="3"/>
        <v>세종</v>
      </c>
      <c r="J46" s="51" t="s">
        <v>569</v>
      </c>
      <c r="K46" s="20" t="s">
        <v>239</v>
      </c>
      <c r="L46" s="52" t="s">
        <v>227</v>
      </c>
      <c r="M46" s="22" t="s">
        <v>125</v>
      </c>
      <c r="N46" s="27">
        <v>44441</v>
      </c>
      <c r="O46" s="53">
        <v>44013</v>
      </c>
      <c r="P46" s="53" t="s">
        <v>1233</v>
      </c>
      <c r="Q46" s="28" t="s">
        <v>69</v>
      </c>
      <c r="R46" s="14" t="s">
        <v>124</v>
      </c>
      <c r="S46" s="16" t="s">
        <v>417</v>
      </c>
      <c r="T46" s="22">
        <v>700</v>
      </c>
      <c r="U46" s="14">
        <v>1</v>
      </c>
      <c r="V46" s="22"/>
      <c r="W46" s="221"/>
      <c r="X46" s="22" t="s">
        <v>1482</v>
      </c>
      <c r="Y46" s="222"/>
      <c r="Z46" s="221" t="s">
        <v>2155</v>
      </c>
      <c r="AA46" s="47" t="s">
        <v>1709</v>
      </c>
      <c r="AB46" s="47" t="s">
        <v>1705</v>
      </c>
      <c r="AC46" s="47" t="s">
        <v>1940</v>
      </c>
      <c r="AD46" s="47" t="s">
        <v>1920</v>
      </c>
      <c r="AE46" s="47"/>
      <c r="AF46" s="32" t="s">
        <v>2450</v>
      </c>
      <c r="AG46" s="220" t="s">
        <v>2451</v>
      </c>
    </row>
    <row r="47" spans="1:89" s="61" customFormat="1" ht="31.2">
      <c r="A47" s="30">
        <f t="shared" si="1"/>
        <v>46</v>
      </c>
      <c r="B47" s="78" t="s">
        <v>971</v>
      </c>
      <c r="C47" s="22" t="s">
        <v>972</v>
      </c>
      <c r="D47" s="56" t="s">
        <v>111</v>
      </c>
      <c r="E47" s="33" t="s">
        <v>53</v>
      </c>
      <c r="F47" s="22" t="s">
        <v>83</v>
      </c>
      <c r="G47" s="22" t="s">
        <v>442</v>
      </c>
      <c r="H47" s="78" t="s">
        <v>973</v>
      </c>
      <c r="I47" s="51" t="s">
        <v>572</v>
      </c>
      <c r="J47" s="51" t="s">
        <v>568</v>
      </c>
      <c r="K47" s="62" t="s">
        <v>975</v>
      </c>
      <c r="L47" s="52" t="s">
        <v>974</v>
      </c>
      <c r="M47" s="22" t="s">
        <v>86</v>
      </c>
      <c r="N47" s="27">
        <v>45174</v>
      </c>
      <c r="O47" s="27">
        <v>44897</v>
      </c>
      <c r="P47" s="27" t="s">
        <v>1233</v>
      </c>
      <c r="Q47" s="72" t="s">
        <v>69</v>
      </c>
      <c r="R47" s="14" t="s">
        <v>868</v>
      </c>
      <c r="S47" s="94" t="s">
        <v>1238</v>
      </c>
      <c r="T47" s="22">
        <v>700</v>
      </c>
      <c r="U47" s="22">
        <v>1</v>
      </c>
      <c r="V47" s="73"/>
      <c r="W47" s="221"/>
      <c r="X47" s="22" t="s">
        <v>1482</v>
      </c>
      <c r="Y47" s="88"/>
      <c r="Z47" s="7" t="s">
        <v>2155</v>
      </c>
      <c r="AA47" s="47" t="s">
        <v>2071</v>
      </c>
      <c r="AB47" s="47" t="s">
        <v>1704</v>
      </c>
      <c r="AC47" s="47"/>
      <c r="AD47" s="47"/>
      <c r="AE47" s="47"/>
      <c r="AF47" s="8" t="s">
        <v>2384</v>
      </c>
      <c r="AG47" s="222"/>
    </row>
    <row r="48" spans="1:89" s="64" customFormat="1" ht="31.2">
      <c r="A48" s="30">
        <f t="shared" si="1"/>
        <v>47</v>
      </c>
      <c r="B48" s="13" t="s">
        <v>93</v>
      </c>
      <c r="C48" s="13" t="s">
        <v>334</v>
      </c>
      <c r="D48" s="30" t="s">
        <v>143</v>
      </c>
      <c r="E48" s="13" t="s">
        <v>4</v>
      </c>
      <c r="F48" s="16" t="s">
        <v>83</v>
      </c>
      <c r="G48" s="16" t="s">
        <v>442</v>
      </c>
      <c r="H48" s="13" t="s">
        <v>404</v>
      </c>
      <c r="I48" s="51" t="str">
        <f t="shared" ref="I48:I70" si="4">LEFT(K48,2)</f>
        <v>울산</v>
      </c>
      <c r="J48" s="51" t="s">
        <v>564</v>
      </c>
      <c r="K48" s="92" t="s">
        <v>31</v>
      </c>
      <c r="L48" s="13" t="s">
        <v>44</v>
      </c>
      <c r="M48" s="13" t="s">
        <v>8</v>
      </c>
      <c r="N48" s="201">
        <v>43322</v>
      </c>
      <c r="O48" s="201">
        <v>43161</v>
      </c>
      <c r="P48" s="201" t="s">
        <v>1233</v>
      </c>
      <c r="Q48" s="30" t="s">
        <v>77</v>
      </c>
      <c r="R48" s="30" t="s">
        <v>872</v>
      </c>
      <c r="S48" s="229"/>
      <c r="T48" s="200">
        <v>700</v>
      </c>
      <c r="U48" s="230">
        <v>2</v>
      </c>
      <c r="V48" s="199"/>
      <c r="W48" s="7"/>
      <c r="X48" s="7" t="s">
        <v>1482</v>
      </c>
      <c r="Y48" s="88"/>
      <c r="Z48" s="7" t="s">
        <v>2150</v>
      </c>
      <c r="AA48" s="47" t="s">
        <v>1818</v>
      </c>
      <c r="AB48" s="47" t="s">
        <v>1703</v>
      </c>
      <c r="AC48" s="47" t="s">
        <v>1927</v>
      </c>
      <c r="AD48" s="47" t="s">
        <v>1920</v>
      </c>
      <c r="AE48" s="47"/>
      <c r="AF48" s="21" t="s">
        <v>2205</v>
      </c>
      <c r="AG48" s="220"/>
    </row>
    <row r="49" spans="1:89" s="49" customFormat="1" ht="17.399999999999999">
      <c r="A49" s="94">
        <f t="shared" si="1"/>
        <v>48</v>
      </c>
      <c r="B49" s="22" t="s">
        <v>508</v>
      </c>
      <c r="C49" s="22" t="s">
        <v>509</v>
      </c>
      <c r="D49" s="22" t="s">
        <v>111</v>
      </c>
      <c r="E49" s="22" t="s">
        <v>53</v>
      </c>
      <c r="F49" s="22" t="s">
        <v>145</v>
      </c>
      <c r="G49" s="22" t="s">
        <v>441</v>
      </c>
      <c r="H49" s="22" t="s">
        <v>408</v>
      </c>
      <c r="I49" s="104" t="str">
        <f t="shared" si="4"/>
        <v>강원</v>
      </c>
      <c r="J49" s="104" t="s">
        <v>566</v>
      </c>
      <c r="K49" s="183" t="s">
        <v>1881</v>
      </c>
      <c r="L49" s="52" t="s">
        <v>510</v>
      </c>
      <c r="M49" s="22" t="s">
        <v>131</v>
      </c>
      <c r="N49" s="27">
        <v>44558</v>
      </c>
      <c r="O49" s="53">
        <v>44119</v>
      </c>
      <c r="P49" s="53" t="s">
        <v>1233</v>
      </c>
      <c r="Q49" s="22" t="s">
        <v>69</v>
      </c>
      <c r="R49" s="22" t="s">
        <v>872</v>
      </c>
      <c r="S49" s="12" t="s">
        <v>872</v>
      </c>
      <c r="T49" s="22">
        <v>700</v>
      </c>
      <c r="U49" s="12">
        <v>1</v>
      </c>
      <c r="V49" s="52"/>
      <c r="W49" s="320"/>
      <c r="X49" s="22" t="s">
        <v>1482</v>
      </c>
      <c r="Y49" s="321"/>
      <c r="Z49" s="320" t="s">
        <v>2155</v>
      </c>
      <c r="AA49" s="47" t="s">
        <v>1986</v>
      </c>
      <c r="AB49" s="47" t="s">
        <v>1702</v>
      </c>
      <c r="AC49" s="47" t="s">
        <v>1923</v>
      </c>
      <c r="AD49" s="47" t="s">
        <v>1920</v>
      </c>
      <c r="AE49" s="47"/>
      <c r="AF49" s="8" t="s">
        <v>2232</v>
      </c>
      <c r="AG49" s="220"/>
    </row>
    <row r="50" spans="1:89" s="396" customFormat="1" ht="78">
      <c r="A50" s="30">
        <f t="shared" si="1"/>
        <v>49</v>
      </c>
      <c r="B50" s="22" t="s">
        <v>2164</v>
      </c>
      <c r="C50" s="22" t="s">
        <v>373</v>
      </c>
      <c r="D50" s="22" t="s">
        <v>424</v>
      </c>
      <c r="E50" s="33" t="s">
        <v>712</v>
      </c>
      <c r="F50" s="22" t="s">
        <v>136</v>
      </c>
      <c r="G50" s="14" t="s">
        <v>441</v>
      </c>
      <c r="H50" s="22" t="s">
        <v>547</v>
      </c>
      <c r="I50" s="51" t="str">
        <f t="shared" si="4"/>
        <v>인천</v>
      </c>
      <c r="J50" s="51" t="s">
        <v>571</v>
      </c>
      <c r="K50" s="62" t="s">
        <v>1108</v>
      </c>
      <c r="L50" s="52" t="s">
        <v>303</v>
      </c>
      <c r="M50" s="22" t="s">
        <v>242</v>
      </c>
      <c r="N50" s="27">
        <v>44477</v>
      </c>
      <c r="O50" s="27" t="s">
        <v>1107</v>
      </c>
      <c r="P50" s="27" t="s">
        <v>1233</v>
      </c>
      <c r="Q50" s="22" t="s">
        <v>69</v>
      </c>
      <c r="R50" s="22" t="s">
        <v>106</v>
      </c>
      <c r="S50" s="14" t="s">
        <v>1242</v>
      </c>
      <c r="T50" s="22">
        <v>700</v>
      </c>
      <c r="U50" s="14">
        <v>2</v>
      </c>
      <c r="V50" s="33" t="s">
        <v>1360</v>
      </c>
      <c r="W50" s="221"/>
      <c r="X50" s="22" t="s">
        <v>1482</v>
      </c>
      <c r="Y50" s="222"/>
      <c r="Z50" s="221" t="s">
        <v>2151</v>
      </c>
      <c r="AA50" s="47" t="s">
        <v>1701</v>
      </c>
      <c r="AB50" s="47" t="s">
        <v>1700</v>
      </c>
      <c r="AC50" s="47"/>
      <c r="AD50" s="47"/>
      <c r="AE50" s="47"/>
      <c r="AF50" s="32" t="s">
        <v>2452</v>
      </c>
      <c r="AG50" s="222" t="s">
        <v>2325</v>
      </c>
    </row>
    <row r="51" spans="1:89" s="49" customFormat="1" ht="31.2">
      <c r="A51" s="30">
        <f t="shared" si="1"/>
        <v>50</v>
      </c>
      <c r="B51" s="22" t="s">
        <v>449</v>
      </c>
      <c r="C51" s="22" t="s">
        <v>450</v>
      </c>
      <c r="D51" s="22" t="s">
        <v>111</v>
      </c>
      <c r="E51" s="22" t="s">
        <v>53</v>
      </c>
      <c r="F51" s="22" t="s">
        <v>83</v>
      </c>
      <c r="G51" s="22" t="s">
        <v>442</v>
      </c>
      <c r="H51" s="7" t="s">
        <v>546</v>
      </c>
      <c r="I51" s="51" t="str">
        <f t="shared" si="4"/>
        <v>인천</v>
      </c>
      <c r="J51" s="51" t="s">
        <v>571</v>
      </c>
      <c r="K51" s="42" t="s">
        <v>451</v>
      </c>
      <c r="L51" s="52" t="s">
        <v>452</v>
      </c>
      <c r="M51" s="22" t="s">
        <v>242</v>
      </c>
      <c r="N51" s="27">
        <v>44516</v>
      </c>
      <c r="O51" s="27" t="s">
        <v>834</v>
      </c>
      <c r="P51" s="27" t="s">
        <v>1233</v>
      </c>
      <c r="Q51" s="22" t="s">
        <v>69</v>
      </c>
      <c r="R51" s="22" t="s">
        <v>106</v>
      </c>
      <c r="S51" s="14" t="s">
        <v>1242</v>
      </c>
      <c r="T51" s="22">
        <v>700</v>
      </c>
      <c r="U51" s="14">
        <v>1</v>
      </c>
      <c r="V51" s="33" t="s">
        <v>1362</v>
      </c>
      <c r="W51" s="22"/>
      <c r="X51" s="22" t="s">
        <v>1482</v>
      </c>
      <c r="Y51" s="22"/>
      <c r="Z51" s="22" t="s">
        <v>2150</v>
      </c>
      <c r="AA51" s="47" t="s">
        <v>1699</v>
      </c>
      <c r="AB51" s="47" t="s">
        <v>1698</v>
      </c>
      <c r="AC51" s="47"/>
      <c r="AD51" s="47"/>
      <c r="AE51" s="47"/>
      <c r="AF51" s="8" t="s">
        <v>2264</v>
      </c>
      <c r="AG51" s="222"/>
    </row>
    <row r="52" spans="1:89" s="54" customFormat="1" ht="46.8">
      <c r="A52" s="74">
        <f t="shared" si="1"/>
        <v>51</v>
      </c>
      <c r="B52" s="48" t="s">
        <v>461</v>
      </c>
      <c r="C52" s="82" t="s">
        <v>578</v>
      </c>
      <c r="D52" s="48" t="s">
        <v>111</v>
      </c>
      <c r="E52" s="48" t="s">
        <v>53</v>
      </c>
      <c r="F52" s="48" t="s">
        <v>83</v>
      </c>
      <c r="G52" s="48" t="s">
        <v>442</v>
      </c>
      <c r="H52" s="48" t="s">
        <v>544</v>
      </c>
      <c r="I52" s="86" t="str">
        <f t="shared" si="4"/>
        <v>경기</v>
      </c>
      <c r="J52" s="86" t="s">
        <v>565</v>
      </c>
      <c r="K52" s="79" t="s">
        <v>462</v>
      </c>
      <c r="L52" s="76" t="s">
        <v>463</v>
      </c>
      <c r="M52" s="48" t="s">
        <v>464</v>
      </c>
      <c r="N52" s="115">
        <v>44530</v>
      </c>
      <c r="O52" s="115" t="s">
        <v>947</v>
      </c>
      <c r="P52" s="115" t="s">
        <v>1233</v>
      </c>
      <c r="Q52" s="48" t="s">
        <v>77</v>
      </c>
      <c r="R52" s="48" t="s">
        <v>869</v>
      </c>
      <c r="S52" s="74" t="s">
        <v>1237</v>
      </c>
      <c r="T52" s="48">
        <v>700</v>
      </c>
      <c r="U52" s="232">
        <v>1</v>
      </c>
      <c r="V52" s="395" t="s">
        <v>1363</v>
      </c>
      <c r="W52" s="123"/>
      <c r="X52" s="48" t="s">
        <v>1482</v>
      </c>
      <c r="Y52" s="125"/>
      <c r="Z52" s="123" t="s">
        <v>2150</v>
      </c>
      <c r="AA52" s="393" t="s">
        <v>1697</v>
      </c>
      <c r="AB52" s="393" t="s">
        <v>1696</v>
      </c>
      <c r="AC52" s="393"/>
      <c r="AD52" s="393"/>
      <c r="AE52" s="393"/>
      <c r="AF52" s="156" t="s">
        <v>2458</v>
      </c>
      <c r="AG52" s="249" t="s">
        <v>2325</v>
      </c>
    </row>
    <row r="53" spans="1:89" s="77" customFormat="1" ht="31.2">
      <c r="A53" s="74">
        <f t="shared" si="1"/>
        <v>52</v>
      </c>
      <c r="B53" s="82" t="s">
        <v>511</v>
      </c>
      <c r="C53" s="48" t="s">
        <v>512</v>
      </c>
      <c r="D53" s="82" t="s">
        <v>111</v>
      </c>
      <c r="E53" s="82" t="s">
        <v>53</v>
      </c>
      <c r="F53" s="48" t="s">
        <v>83</v>
      </c>
      <c r="G53" s="48" t="s">
        <v>442</v>
      </c>
      <c r="H53" s="48" t="s">
        <v>751</v>
      </c>
      <c r="I53" s="86" t="str">
        <f t="shared" si="4"/>
        <v>강원</v>
      </c>
      <c r="J53" s="86" t="s">
        <v>566</v>
      </c>
      <c r="K53" s="83" t="s">
        <v>513</v>
      </c>
      <c r="L53" s="80" t="s">
        <v>514</v>
      </c>
      <c r="M53" s="48" t="s">
        <v>159</v>
      </c>
      <c r="N53" s="115">
        <v>44573</v>
      </c>
      <c r="O53" s="115" t="s">
        <v>604</v>
      </c>
      <c r="P53" s="115" t="s">
        <v>1233</v>
      </c>
      <c r="Q53" s="48" t="s">
        <v>69</v>
      </c>
      <c r="R53" s="48" t="s">
        <v>124</v>
      </c>
      <c r="S53" s="97" t="s">
        <v>417</v>
      </c>
      <c r="T53" s="48">
        <v>700</v>
      </c>
      <c r="U53" s="97">
        <v>1</v>
      </c>
      <c r="V53" s="80"/>
      <c r="W53" s="248"/>
      <c r="X53" s="48" t="s">
        <v>1482</v>
      </c>
      <c r="Y53" s="249"/>
      <c r="Z53" s="248" t="s">
        <v>2155</v>
      </c>
      <c r="AA53" s="393" t="s">
        <v>1988</v>
      </c>
      <c r="AB53" s="393" t="s">
        <v>1989</v>
      </c>
      <c r="AC53" s="393"/>
      <c r="AD53" s="393"/>
      <c r="AE53" s="393"/>
      <c r="AF53" s="156" t="s">
        <v>2464</v>
      </c>
      <c r="AG53" s="249" t="s">
        <v>2325</v>
      </c>
    </row>
    <row r="54" spans="1:89" s="81" customFormat="1" ht="17.399999999999999">
      <c r="A54" s="30">
        <f t="shared" si="1"/>
        <v>53</v>
      </c>
      <c r="B54" s="22" t="s">
        <v>504</v>
      </c>
      <c r="C54" s="22" t="s">
        <v>505</v>
      </c>
      <c r="D54" s="22" t="s">
        <v>111</v>
      </c>
      <c r="E54" s="22" t="s">
        <v>53</v>
      </c>
      <c r="F54" s="22" t="s">
        <v>83</v>
      </c>
      <c r="G54" s="22" t="s">
        <v>442</v>
      </c>
      <c r="H54" s="22" t="s">
        <v>540</v>
      </c>
      <c r="I54" s="51" t="str">
        <f t="shared" si="4"/>
        <v>경북</v>
      </c>
      <c r="J54" s="51" t="s">
        <v>564</v>
      </c>
      <c r="K54" s="42" t="s">
        <v>506</v>
      </c>
      <c r="L54" s="52" t="s">
        <v>507</v>
      </c>
      <c r="M54" s="22" t="s">
        <v>110</v>
      </c>
      <c r="N54" s="27">
        <v>44558</v>
      </c>
      <c r="O54" s="53">
        <v>44397</v>
      </c>
      <c r="P54" s="53" t="s">
        <v>1233</v>
      </c>
      <c r="Q54" s="22" t="s">
        <v>69</v>
      </c>
      <c r="R54" s="16" t="s">
        <v>139</v>
      </c>
      <c r="S54" s="22" t="s">
        <v>423</v>
      </c>
      <c r="T54" s="22">
        <v>700</v>
      </c>
      <c r="U54" s="94">
        <v>1</v>
      </c>
      <c r="V54" s="52"/>
      <c r="W54" s="221"/>
      <c r="X54" s="22" t="s">
        <v>1482</v>
      </c>
      <c r="Y54" s="222"/>
      <c r="Z54" s="221" t="s">
        <v>2155</v>
      </c>
      <c r="AA54" s="47" t="s">
        <v>1695</v>
      </c>
      <c r="AB54" s="47" t="s">
        <v>1987</v>
      </c>
      <c r="AC54" s="47"/>
      <c r="AD54" s="47"/>
      <c r="AE54" s="47"/>
      <c r="AF54" s="8" t="s">
        <v>2271</v>
      </c>
      <c r="AG54" s="220"/>
    </row>
    <row r="55" spans="1:89" s="182" customFormat="1" ht="46.8">
      <c r="A55" s="74">
        <f t="shared" si="1"/>
        <v>54</v>
      </c>
      <c r="B55" s="48" t="s">
        <v>497</v>
      </c>
      <c r="C55" s="82" t="s">
        <v>498</v>
      </c>
      <c r="D55" s="48" t="s">
        <v>111</v>
      </c>
      <c r="E55" s="48" t="s">
        <v>53</v>
      </c>
      <c r="F55" s="48" t="s">
        <v>83</v>
      </c>
      <c r="G55" s="48" t="s">
        <v>442</v>
      </c>
      <c r="H55" s="48" t="s">
        <v>759</v>
      </c>
      <c r="I55" s="86" t="str">
        <f t="shared" si="4"/>
        <v>충북</v>
      </c>
      <c r="J55" s="86" t="s">
        <v>569</v>
      </c>
      <c r="K55" s="79" t="s">
        <v>499</v>
      </c>
      <c r="L55" s="80" t="s">
        <v>500</v>
      </c>
      <c r="M55" s="48" t="s">
        <v>80</v>
      </c>
      <c r="N55" s="115">
        <v>44554</v>
      </c>
      <c r="O55" s="128">
        <v>44456</v>
      </c>
      <c r="P55" s="128" t="s">
        <v>1233</v>
      </c>
      <c r="Q55" s="48" t="s">
        <v>69</v>
      </c>
      <c r="R55" s="118" t="s">
        <v>124</v>
      </c>
      <c r="S55" s="48" t="s">
        <v>417</v>
      </c>
      <c r="T55" s="48">
        <v>700</v>
      </c>
      <c r="U55" s="74">
        <v>1</v>
      </c>
      <c r="V55" s="48"/>
      <c r="W55" s="48"/>
      <c r="X55" s="48" t="s">
        <v>1482</v>
      </c>
      <c r="Y55" s="75"/>
      <c r="Z55" s="48" t="s">
        <v>2155</v>
      </c>
      <c r="AA55" s="393" t="s">
        <v>1983</v>
      </c>
      <c r="AB55" s="393" t="s">
        <v>1694</v>
      </c>
      <c r="AC55" s="393"/>
      <c r="AD55" s="393"/>
      <c r="AE55" s="393"/>
      <c r="AF55" s="156" t="s">
        <v>2461</v>
      </c>
      <c r="AG55" s="249" t="s">
        <v>2325</v>
      </c>
      <c r="AH55" s="77"/>
      <c r="AI55" s="77"/>
      <c r="AJ55" s="77"/>
      <c r="AK55" s="77"/>
      <c r="AL55" s="77"/>
      <c r="AM55" s="77"/>
      <c r="AN55" s="77"/>
      <c r="AO55" s="77"/>
      <c r="AP55" s="77"/>
      <c r="AQ55" s="77"/>
      <c r="AR55" s="77"/>
      <c r="AS55" s="77"/>
      <c r="AT55" s="77"/>
      <c r="AU55" s="77"/>
      <c r="AV55" s="77"/>
      <c r="AW55" s="77"/>
      <c r="AX55" s="77"/>
      <c r="AY55" s="77"/>
      <c r="AZ55" s="77"/>
      <c r="BA55" s="77"/>
      <c r="BB55" s="77"/>
      <c r="BC55" s="77"/>
      <c r="BD55" s="77"/>
      <c r="BE55" s="77"/>
      <c r="BF55" s="77"/>
      <c r="BG55" s="77"/>
      <c r="BH55" s="77"/>
      <c r="BI55" s="77"/>
      <c r="BJ55" s="77"/>
      <c r="BK55" s="77"/>
      <c r="BL55" s="77"/>
      <c r="BM55" s="77"/>
      <c r="BN55" s="77"/>
      <c r="BO55" s="77"/>
      <c r="BP55" s="77"/>
      <c r="BQ55" s="77"/>
      <c r="BR55" s="77"/>
      <c r="BS55" s="77"/>
      <c r="BT55" s="77"/>
      <c r="BU55" s="77"/>
      <c r="BV55" s="77"/>
      <c r="BW55" s="77"/>
      <c r="BX55" s="77"/>
      <c r="BY55" s="77"/>
      <c r="BZ55" s="77"/>
      <c r="CA55" s="77"/>
      <c r="CB55" s="77"/>
      <c r="CC55" s="77"/>
      <c r="CD55" s="77"/>
      <c r="CE55" s="77"/>
      <c r="CF55" s="77"/>
      <c r="CG55" s="77"/>
      <c r="CH55" s="77"/>
      <c r="CI55" s="77"/>
      <c r="CJ55" s="77"/>
      <c r="CK55" s="77"/>
    </row>
    <row r="56" spans="1:89" s="57" customFormat="1" ht="46.8">
      <c r="A56" s="30">
        <f t="shared" si="1"/>
        <v>55</v>
      </c>
      <c r="B56" s="33" t="s">
        <v>1330</v>
      </c>
      <c r="C56" s="22" t="s">
        <v>515</v>
      </c>
      <c r="D56" s="33" t="s">
        <v>424</v>
      </c>
      <c r="E56" s="33" t="s">
        <v>713</v>
      </c>
      <c r="F56" s="22" t="s">
        <v>145</v>
      </c>
      <c r="G56" s="22" t="s">
        <v>441</v>
      </c>
      <c r="H56" s="22" t="s">
        <v>1331</v>
      </c>
      <c r="I56" s="51" t="str">
        <f t="shared" si="4"/>
        <v>충북</v>
      </c>
      <c r="J56" s="51" t="s">
        <v>569</v>
      </c>
      <c r="K56" s="62" t="s">
        <v>516</v>
      </c>
      <c r="L56" s="52" t="s">
        <v>517</v>
      </c>
      <c r="M56" s="22" t="s">
        <v>56</v>
      </c>
      <c r="N56" s="27">
        <v>44578</v>
      </c>
      <c r="O56" s="27" t="s">
        <v>518</v>
      </c>
      <c r="P56" s="27" t="s">
        <v>1233</v>
      </c>
      <c r="Q56" s="22" t="s">
        <v>69</v>
      </c>
      <c r="R56" s="22" t="s">
        <v>1855</v>
      </c>
      <c r="S56" s="12" t="s">
        <v>872</v>
      </c>
      <c r="T56" s="22">
        <v>700</v>
      </c>
      <c r="U56" s="12">
        <v>1</v>
      </c>
      <c r="V56" s="256" t="s">
        <v>1364</v>
      </c>
      <c r="W56" s="221"/>
      <c r="X56" s="22" t="s">
        <v>1482</v>
      </c>
      <c r="Y56" s="222"/>
      <c r="Z56" s="221" t="s">
        <v>2155</v>
      </c>
      <c r="AA56" s="47" t="s">
        <v>1693</v>
      </c>
      <c r="AB56" s="47" t="s">
        <v>1692</v>
      </c>
      <c r="AC56" s="47"/>
      <c r="AD56" s="47"/>
      <c r="AE56" s="47"/>
      <c r="AF56" s="8" t="s">
        <v>2272</v>
      </c>
      <c r="AG56" s="222" t="s">
        <v>1867</v>
      </c>
    </row>
    <row r="57" spans="1:89" s="49" customFormat="1" ht="17.399999999999999">
      <c r="A57" s="30">
        <f t="shared" si="1"/>
        <v>56</v>
      </c>
      <c r="B57" s="22" t="s">
        <v>473</v>
      </c>
      <c r="C57" s="22" t="s">
        <v>474</v>
      </c>
      <c r="D57" s="22" t="s">
        <v>111</v>
      </c>
      <c r="E57" s="22" t="s">
        <v>53</v>
      </c>
      <c r="F57" s="22" t="s">
        <v>83</v>
      </c>
      <c r="G57" s="22" t="s">
        <v>442</v>
      </c>
      <c r="H57" s="22" t="s">
        <v>541</v>
      </c>
      <c r="I57" s="51" t="str">
        <f t="shared" si="4"/>
        <v>경북</v>
      </c>
      <c r="J57" s="51" t="s">
        <v>564</v>
      </c>
      <c r="K57" s="42" t="s">
        <v>475</v>
      </c>
      <c r="L57" s="52" t="s">
        <v>476</v>
      </c>
      <c r="M57" s="22" t="s">
        <v>477</v>
      </c>
      <c r="N57" s="27">
        <v>44544</v>
      </c>
      <c r="O57" s="53">
        <v>44372</v>
      </c>
      <c r="P57" s="53" t="s">
        <v>1233</v>
      </c>
      <c r="Q57" s="22" t="s">
        <v>69</v>
      </c>
      <c r="R57" s="16" t="s">
        <v>139</v>
      </c>
      <c r="S57" s="22" t="s">
        <v>478</v>
      </c>
      <c r="T57" s="22">
        <v>700</v>
      </c>
      <c r="U57" s="94">
        <v>1</v>
      </c>
      <c r="V57" s="52"/>
      <c r="W57" s="221"/>
      <c r="X57" s="22" t="s">
        <v>1482</v>
      </c>
      <c r="Y57" s="222"/>
      <c r="Z57" s="221" t="s">
        <v>2150</v>
      </c>
      <c r="AA57" s="47" t="s">
        <v>1977</v>
      </c>
      <c r="AB57" s="47" t="s">
        <v>1691</v>
      </c>
      <c r="AC57" s="47" t="s">
        <v>1978</v>
      </c>
      <c r="AD57" s="47" t="s">
        <v>1920</v>
      </c>
      <c r="AE57" s="47"/>
      <c r="AF57" s="363" t="s">
        <v>2268</v>
      </c>
      <c r="AG57" s="222"/>
    </row>
    <row r="58" spans="1:89" s="71" customFormat="1" ht="31.2">
      <c r="A58" s="30">
        <f t="shared" si="1"/>
        <v>57</v>
      </c>
      <c r="B58" s="22" t="s">
        <v>469</v>
      </c>
      <c r="C58" s="22" t="s">
        <v>470</v>
      </c>
      <c r="D58" s="22" t="s">
        <v>111</v>
      </c>
      <c r="E58" s="22" t="s">
        <v>53</v>
      </c>
      <c r="F58" s="22" t="s">
        <v>136</v>
      </c>
      <c r="G58" s="22" t="s">
        <v>441</v>
      </c>
      <c r="H58" s="22" t="s">
        <v>543</v>
      </c>
      <c r="I58" s="51" t="str">
        <f t="shared" si="4"/>
        <v>대구</v>
      </c>
      <c r="J58" s="51" t="s">
        <v>564</v>
      </c>
      <c r="K58" s="62" t="s">
        <v>471</v>
      </c>
      <c r="L58" s="52" t="s">
        <v>472</v>
      </c>
      <c r="M58" s="22" t="s">
        <v>110</v>
      </c>
      <c r="N58" s="27">
        <v>44544</v>
      </c>
      <c r="O58" s="53">
        <v>44253</v>
      </c>
      <c r="P58" s="53" t="s">
        <v>1235</v>
      </c>
      <c r="Q58" s="22" t="s">
        <v>69</v>
      </c>
      <c r="R58" s="22" t="s">
        <v>102</v>
      </c>
      <c r="S58" s="94" t="s">
        <v>1238</v>
      </c>
      <c r="T58" s="22">
        <v>700</v>
      </c>
      <c r="U58" s="14">
        <v>2</v>
      </c>
      <c r="V58" s="22"/>
      <c r="W58" s="28"/>
      <c r="X58" s="22" t="s">
        <v>1482</v>
      </c>
      <c r="Y58" s="55"/>
      <c r="Z58" s="28" t="s">
        <v>2155</v>
      </c>
      <c r="AA58" s="47" t="s">
        <v>1690</v>
      </c>
      <c r="AB58" s="47" t="s">
        <v>1689</v>
      </c>
      <c r="AC58" s="47"/>
      <c r="AD58" s="47"/>
      <c r="AE58" s="47"/>
      <c r="AF58" s="8" t="s">
        <v>2267</v>
      </c>
      <c r="AG58" s="22"/>
    </row>
    <row r="59" spans="1:89" s="57" customFormat="1" ht="31.2">
      <c r="A59" s="30">
        <f t="shared" si="1"/>
        <v>58</v>
      </c>
      <c r="B59" s="33" t="s">
        <v>523</v>
      </c>
      <c r="C59" s="22" t="s">
        <v>524</v>
      </c>
      <c r="D59" s="33" t="s">
        <v>111</v>
      </c>
      <c r="E59" s="33" t="s">
        <v>53</v>
      </c>
      <c r="F59" s="22" t="s">
        <v>222</v>
      </c>
      <c r="G59" s="22" t="s">
        <v>441</v>
      </c>
      <c r="H59" s="22" t="s">
        <v>553</v>
      </c>
      <c r="I59" s="51" t="str">
        <f t="shared" si="4"/>
        <v>울산</v>
      </c>
      <c r="J59" s="51" t="s">
        <v>564</v>
      </c>
      <c r="K59" s="62" t="s">
        <v>525</v>
      </c>
      <c r="L59" s="52" t="s">
        <v>526</v>
      </c>
      <c r="M59" s="22" t="s">
        <v>51</v>
      </c>
      <c r="N59" s="195">
        <v>44601</v>
      </c>
      <c r="O59" s="195" t="s">
        <v>602</v>
      </c>
      <c r="P59" s="195" t="s">
        <v>1233</v>
      </c>
      <c r="Q59" s="22" t="s">
        <v>69</v>
      </c>
      <c r="R59" s="22" t="s">
        <v>872</v>
      </c>
      <c r="S59" s="202" t="s">
        <v>872</v>
      </c>
      <c r="T59" s="191">
        <v>700</v>
      </c>
      <c r="U59" s="202">
        <v>1</v>
      </c>
      <c r="V59" s="194"/>
      <c r="W59" s="221"/>
      <c r="X59" s="22" t="s">
        <v>1482</v>
      </c>
      <c r="Y59" s="222"/>
      <c r="Z59" s="221" t="s">
        <v>2155</v>
      </c>
      <c r="AA59" s="47" t="s">
        <v>1990</v>
      </c>
      <c r="AB59" s="47" t="s">
        <v>1688</v>
      </c>
      <c r="AC59" s="47" t="s">
        <v>1923</v>
      </c>
      <c r="AD59" s="47" t="s">
        <v>1920</v>
      </c>
      <c r="AE59" s="47"/>
      <c r="AF59" s="8" t="s">
        <v>2274</v>
      </c>
      <c r="AG59" s="222" t="s">
        <v>2275</v>
      </c>
    </row>
    <row r="60" spans="1:89" s="61" customFormat="1" ht="31.2">
      <c r="A60" s="30">
        <f t="shared" si="1"/>
        <v>59</v>
      </c>
      <c r="B60" s="22" t="s">
        <v>465</v>
      </c>
      <c r="C60" s="22" t="s">
        <v>466</v>
      </c>
      <c r="D60" s="22" t="s">
        <v>111</v>
      </c>
      <c r="E60" s="22" t="s">
        <v>53</v>
      </c>
      <c r="F60" s="22" t="s">
        <v>83</v>
      </c>
      <c r="G60" s="22" t="s">
        <v>442</v>
      </c>
      <c r="H60" s="22" t="s">
        <v>758</v>
      </c>
      <c r="I60" s="51" t="str">
        <f t="shared" si="4"/>
        <v>경남</v>
      </c>
      <c r="J60" s="51" t="s">
        <v>564</v>
      </c>
      <c r="K60" s="62" t="s">
        <v>467</v>
      </c>
      <c r="L60" s="52" t="s">
        <v>468</v>
      </c>
      <c r="M60" s="22" t="s">
        <v>251</v>
      </c>
      <c r="N60" s="27">
        <v>44533</v>
      </c>
      <c r="O60" s="53">
        <v>44259</v>
      </c>
      <c r="P60" s="53" t="s">
        <v>1233</v>
      </c>
      <c r="Q60" s="22" t="s">
        <v>69</v>
      </c>
      <c r="R60" s="22" t="s">
        <v>139</v>
      </c>
      <c r="S60" s="94" t="s">
        <v>1238</v>
      </c>
      <c r="T60" s="22">
        <v>700</v>
      </c>
      <c r="U60" s="14">
        <v>1</v>
      </c>
      <c r="V60" s="52"/>
      <c r="W60" s="221"/>
      <c r="X60" s="22" t="s">
        <v>1482</v>
      </c>
      <c r="Y60" s="222"/>
      <c r="Z60" s="221" t="s">
        <v>2155</v>
      </c>
      <c r="AA60" s="47" t="s">
        <v>1976</v>
      </c>
      <c r="AB60" s="47" t="s">
        <v>1687</v>
      </c>
      <c r="AC60" s="47"/>
      <c r="AD60" s="47"/>
      <c r="AE60" s="47"/>
      <c r="AF60" s="8" t="s">
        <v>2265</v>
      </c>
      <c r="AG60" s="222"/>
    </row>
    <row r="61" spans="1:89" s="77" customFormat="1" ht="31.2">
      <c r="A61" s="30">
        <f t="shared" si="1"/>
        <v>60</v>
      </c>
      <c r="B61" s="33" t="s">
        <v>519</v>
      </c>
      <c r="C61" s="22" t="s">
        <v>520</v>
      </c>
      <c r="D61" s="33" t="s">
        <v>111</v>
      </c>
      <c r="E61" s="33" t="s">
        <v>53</v>
      </c>
      <c r="F61" s="22" t="s">
        <v>83</v>
      </c>
      <c r="G61" s="22" t="s">
        <v>442</v>
      </c>
      <c r="H61" s="22" t="s">
        <v>432</v>
      </c>
      <c r="I61" s="51" t="str">
        <f t="shared" si="4"/>
        <v>경기</v>
      </c>
      <c r="J61" s="51" t="s">
        <v>565</v>
      </c>
      <c r="K61" s="62" t="s">
        <v>521</v>
      </c>
      <c r="L61" s="52" t="s">
        <v>522</v>
      </c>
      <c r="M61" s="22" t="s">
        <v>116</v>
      </c>
      <c r="N61" s="195">
        <v>44588</v>
      </c>
      <c r="O61" s="195" t="s">
        <v>603</v>
      </c>
      <c r="P61" s="195" t="s">
        <v>1233</v>
      </c>
      <c r="Q61" s="22" t="s">
        <v>69</v>
      </c>
      <c r="R61" s="22" t="s">
        <v>378</v>
      </c>
      <c r="S61" s="202" t="s">
        <v>378</v>
      </c>
      <c r="T61" s="191">
        <v>700</v>
      </c>
      <c r="U61" s="202">
        <v>2</v>
      </c>
      <c r="V61" s="271" t="s">
        <v>1350</v>
      </c>
      <c r="W61" s="221"/>
      <c r="X61" s="22" t="s">
        <v>1482</v>
      </c>
      <c r="Y61" s="222"/>
      <c r="Z61" s="221" t="s">
        <v>2150</v>
      </c>
      <c r="AA61" s="47" t="s">
        <v>1686</v>
      </c>
      <c r="AB61" s="47" t="s">
        <v>1685</v>
      </c>
      <c r="AC61" s="47" t="s">
        <v>1937</v>
      </c>
      <c r="AD61" s="47" t="s">
        <v>1918</v>
      </c>
      <c r="AE61" s="47"/>
      <c r="AF61" s="8" t="s">
        <v>2273</v>
      </c>
      <c r="AG61" s="88"/>
    </row>
    <row r="62" spans="1:89" s="77" customFormat="1" ht="17.399999999999999">
      <c r="A62" s="30">
        <f t="shared" si="1"/>
        <v>61</v>
      </c>
      <c r="B62" s="22" t="s">
        <v>490</v>
      </c>
      <c r="C62" s="22" t="s">
        <v>384</v>
      </c>
      <c r="D62" s="22" t="s">
        <v>111</v>
      </c>
      <c r="E62" s="22" t="s">
        <v>53</v>
      </c>
      <c r="F62" s="22" t="s">
        <v>145</v>
      </c>
      <c r="G62" s="22" t="s">
        <v>441</v>
      </c>
      <c r="H62" s="22" t="s">
        <v>432</v>
      </c>
      <c r="I62" s="51" t="str">
        <f t="shared" si="4"/>
        <v>대전</v>
      </c>
      <c r="J62" s="51" t="s">
        <v>569</v>
      </c>
      <c r="K62" s="20" t="s">
        <v>491</v>
      </c>
      <c r="L62" s="52" t="s">
        <v>492</v>
      </c>
      <c r="M62" s="22" t="s">
        <v>125</v>
      </c>
      <c r="N62" s="27">
        <v>44546</v>
      </c>
      <c r="O62" s="53">
        <v>44378</v>
      </c>
      <c r="P62" s="53" t="s">
        <v>1233</v>
      </c>
      <c r="Q62" s="22" t="s">
        <v>69</v>
      </c>
      <c r="R62" s="16" t="s">
        <v>139</v>
      </c>
      <c r="S62" s="22" t="s">
        <v>378</v>
      </c>
      <c r="T62" s="22">
        <v>700</v>
      </c>
      <c r="U62" s="94">
        <v>2</v>
      </c>
      <c r="V62" s="73" t="s">
        <v>1350</v>
      </c>
      <c r="W62" s="221"/>
      <c r="X62" s="22" t="s">
        <v>1482</v>
      </c>
      <c r="Y62" s="222"/>
      <c r="Z62" s="221" t="s">
        <v>2155</v>
      </c>
      <c r="AA62" s="47" t="s">
        <v>1979</v>
      </c>
      <c r="AB62" s="47" t="s">
        <v>1980</v>
      </c>
      <c r="AC62" s="47"/>
      <c r="AD62" s="47"/>
      <c r="AE62" s="47"/>
      <c r="AF62" s="8" t="s">
        <v>2269</v>
      </c>
      <c r="AG62" s="222"/>
    </row>
    <row r="63" spans="1:89" s="54" customFormat="1" ht="17.399999999999999">
      <c r="A63" s="30">
        <f t="shared" si="1"/>
        <v>62</v>
      </c>
      <c r="B63" s="22" t="s">
        <v>493</v>
      </c>
      <c r="C63" s="22" t="s">
        <v>494</v>
      </c>
      <c r="D63" s="22" t="s">
        <v>111</v>
      </c>
      <c r="E63" s="22" t="s">
        <v>53</v>
      </c>
      <c r="F63" s="22" t="s">
        <v>222</v>
      </c>
      <c r="G63" s="22" t="s">
        <v>441</v>
      </c>
      <c r="H63" s="22" t="s">
        <v>432</v>
      </c>
      <c r="I63" s="51" t="str">
        <f t="shared" si="4"/>
        <v>충북</v>
      </c>
      <c r="J63" s="51" t="s">
        <v>569</v>
      </c>
      <c r="K63" s="55" t="s">
        <v>495</v>
      </c>
      <c r="L63" s="26" t="s">
        <v>496</v>
      </c>
      <c r="M63" s="22" t="s">
        <v>56</v>
      </c>
      <c r="N63" s="27">
        <v>44551</v>
      </c>
      <c r="O63" s="53">
        <v>44181</v>
      </c>
      <c r="P63" s="53" t="s">
        <v>1233</v>
      </c>
      <c r="Q63" s="22" t="s">
        <v>69</v>
      </c>
      <c r="R63" s="28" t="s">
        <v>139</v>
      </c>
      <c r="S63" s="7" t="s">
        <v>378</v>
      </c>
      <c r="T63" s="22">
        <v>700</v>
      </c>
      <c r="U63" s="14">
        <v>2</v>
      </c>
      <c r="V63" s="73" t="s">
        <v>1350</v>
      </c>
      <c r="W63" s="221"/>
      <c r="X63" s="22" t="s">
        <v>1482</v>
      </c>
      <c r="Y63" s="222"/>
      <c r="Z63" s="221" t="s">
        <v>2150</v>
      </c>
      <c r="AA63" s="47" t="s">
        <v>1982</v>
      </c>
      <c r="AB63" s="47" t="s">
        <v>1684</v>
      </c>
      <c r="AC63" s="47"/>
      <c r="AD63" s="47"/>
      <c r="AE63" s="47"/>
      <c r="AF63" s="8" t="s">
        <v>2270</v>
      </c>
      <c r="AG63" s="222"/>
    </row>
    <row r="64" spans="1:89" s="87" customFormat="1" ht="34.799999999999997">
      <c r="A64" s="74">
        <f t="shared" si="1"/>
        <v>63</v>
      </c>
      <c r="B64" s="48" t="s">
        <v>501</v>
      </c>
      <c r="C64" s="48" t="s">
        <v>577</v>
      </c>
      <c r="D64" s="48" t="s">
        <v>111</v>
      </c>
      <c r="E64" s="48" t="s">
        <v>53</v>
      </c>
      <c r="F64" s="48" t="s">
        <v>145</v>
      </c>
      <c r="G64" s="48" t="s">
        <v>441</v>
      </c>
      <c r="H64" s="48" t="s">
        <v>409</v>
      </c>
      <c r="I64" s="86" t="str">
        <f t="shared" si="4"/>
        <v>경기</v>
      </c>
      <c r="J64" s="86" t="s">
        <v>565</v>
      </c>
      <c r="K64" s="79" t="s">
        <v>502</v>
      </c>
      <c r="L64" s="80" t="s">
        <v>503</v>
      </c>
      <c r="M64" s="48" t="s">
        <v>237</v>
      </c>
      <c r="N64" s="115">
        <v>44557</v>
      </c>
      <c r="O64" s="115" t="s">
        <v>798</v>
      </c>
      <c r="P64" s="115" t="s">
        <v>1233</v>
      </c>
      <c r="Q64" s="48" t="s">
        <v>69</v>
      </c>
      <c r="R64" s="121" t="s">
        <v>869</v>
      </c>
      <c r="S64" s="74" t="s">
        <v>1239</v>
      </c>
      <c r="T64" s="48">
        <v>700</v>
      </c>
      <c r="U64" s="232">
        <v>2</v>
      </c>
      <c r="V64" s="247" t="s">
        <v>1342</v>
      </c>
      <c r="W64" s="248" t="s">
        <v>1491</v>
      </c>
      <c r="X64" s="48" t="s">
        <v>1482</v>
      </c>
      <c r="Y64" s="249"/>
      <c r="Z64" s="248" t="s">
        <v>2150</v>
      </c>
      <c r="AA64" s="393" t="s">
        <v>1984</v>
      </c>
      <c r="AB64" s="393" t="s">
        <v>1683</v>
      </c>
      <c r="AC64" s="393" t="s">
        <v>1985</v>
      </c>
      <c r="AD64" s="393" t="s">
        <v>1920</v>
      </c>
      <c r="AE64" s="394" t="s">
        <v>2290</v>
      </c>
      <c r="AF64" s="156" t="s">
        <v>2462</v>
      </c>
      <c r="AG64" s="364" t="s">
        <v>2463</v>
      </c>
    </row>
    <row r="65" spans="1:89" s="54" customFormat="1" ht="31.2">
      <c r="A65" s="30">
        <f t="shared" si="1"/>
        <v>64</v>
      </c>
      <c r="B65" s="22" t="s">
        <v>306</v>
      </c>
      <c r="C65" s="22" t="s">
        <v>374</v>
      </c>
      <c r="D65" s="22" t="s">
        <v>111</v>
      </c>
      <c r="E65" s="22" t="s">
        <v>53</v>
      </c>
      <c r="F65" s="22" t="s">
        <v>136</v>
      </c>
      <c r="G65" s="22" t="s">
        <v>441</v>
      </c>
      <c r="H65" s="28" t="s">
        <v>96</v>
      </c>
      <c r="I65" s="51" t="str">
        <f t="shared" si="4"/>
        <v>대전</v>
      </c>
      <c r="J65" s="51" t="s">
        <v>569</v>
      </c>
      <c r="K65" s="62" t="s">
        <v>836</v>
      </c>
      <c r="L65" s="52" t="s">
        <v>308</v>
      </c>
      <c r="M65" s="22" t="s">
        <v>125</v>
      </c>
      <c r="N65" s="27">
        <v>44428</v>
      </c>
      <c r="O65" s="27" t="s">
        <v>1067</v>
      </c>
      <c r="P65" s="27" t="s">
        <v>1235</v>
      </c>
      <c r="Q65" s="22" t="s">
        <v>69</v>
      </c>
      <c r="R65" s="22" t="s">
        <v>102</v>
      </c>
      <c r="S65" s="94" t="s">
        <v>1238</v>
      </c>
      <c r="T65" s="22">
        <v>700</v>
      </c>
      <c r="U65" s="14">
        <v>2</v>
      </c>
      <c r="V65" s="22" t="s">
        <v>1357</v>
      </c>
      <c r="W65" s="221"/>
      <c r="X65" s="22" t="s">
        <v>1482</v>
      </c>
      <c r="Y65" s="222"/>
      <c r="Z65" s="221" t="s">
        <v>2150</v>
      </c>
      <c r="AA65" s="47" t="s">
        <v>1966</v>
      </c>
      <c r="AB65" s="47" t="s">
        <v>1967</v>
      </c>
      <c r="AC65" s="47"/>
      <c r="AD65" s="47"/>
      <c r="AE65" s="47"/>
      <c r="AF65" s="8" t="s">
        <v>2260</v>
      </c>
      <c r="AG65" s="220"/>
    </row>
    <row r="66" spans="1:89" s="54" customFormat="1" ht="31.2">
      <c r="A66" s="65">
        <f t="shared" si="1"/>
        <v>65</v>
      </c>
      <c r="B66" s="50" t="s">
        <v>2163</v>
      </c>
      <c r="C66" s="50" t="s">
        <v>358</v>
      </c>
      <c r="D66" s="50" t="s">
        <v>111</v>
      </c>
      <c r="E66" s="50" t="s">
        <v>53</v>
      </c>
      <c r="F66" s="50" t="s">
        <v>83</v>
      </c>
      <c r="G66" s="50" t="s">
        <v>442</v>
      </c>
      <c r="H66" s="50" t="s">
        <v>445</v>
      </c>
      <c r="I66" s="66" t="str">
        <f t="shared" si="4"/>
        <v>경기</v>
      </c>
      <c r="J66" s="66" t="s">
        <v>565</v>
      </c>
      <c r="K66" s="315" t="s">
        <v>359</v>
      </c>
      <c r="L66" s="67" t="s">
        <v>297</v>
      </c>
      <c r="M66" s="50" t="s">
        <v>230</v>
      </c>
      <c r="N66" s="68">
        <v>44467</v>
      </c>
      <c r="O66" s="68" t="s">
        <v>1103</v>
      </c>
      <c r="P66" s="68" t="s">
        <v>1233</v>
      </c>
      <c r="Q66" s="50" t="s">
        <v>69</v>
      </c>
      <c r="R66" s="89" t="s">
        <v>871</v>
      </c>
      <c r="S66" s="85" t="s">
        <v>871</v>
      </c>
      <c r="T66" s="50">
        <v>700</v>
      </c>
      <c r="U66" s="85">
        <v>2</v>
      </c>
      <c r="V66" s="60" t="s">
        <v>1359</v>
      </c>
      <c r="W66" s="252"/>
      <c r="X66" s="50" t="s">
        <v>1482</v>
      </c>
      <c r="Y66" s="253"/>
      <c r="Z66" s="252" t="s">
        <v>2151</v>
      </c>
      <c r="AA66" s="397" t="s">
        <v>1970</v>
      </c>
      <c r="AB66" s="397" t="s">
        <v>1682</v>
      </c>
      <c r="AC66" s="397" t="s">
        <v>1923</v>
      </c>
      <c r="AD66" s="397" t="s">
        <v>1920</v>
      </c>
      <c r="AE66" s="397"/>
      <c r="AF66" s="116" t="s">
        <v>2263</v>
      </c>
      <c r="AG66" s="255"/>
    </row>
    <row r="67" spans="1:89" s="64" customFormat="1" ht="46.8">
      <c r="A67" s="30">
        <f t="shared" ref="A67:A130" si="5">A66+1</f>
        <v>66</v>
      </c>
      <c r="B67" s="22" t="s">
        <v>318</v>
      </c>
      <c r="C67" s="22" t="s">
        <v>377</v>
      </c>
      <c r="D67" s="22" t="s">
        <v>111</v>
      </c>
      <c r="E67" s="22" t="s">
        <v>53</v>
      </c>
      <c r="F67" s="22" t="s">
        <v>145</v>
      </c>
      <c r="G67" s="22" t="s">
        <v>441</v>
      </c>
      <c r="H67" s="22" t="s">
        <v>409</v>
      </c>
      <c r="I67" s="51" t="str">
        <f t="shared" si="4"/>
        <v>대전</v>
      </c>
      <c r="J67" s="51" t="s">
        <v>569</v>
      </c>
      <c r="K67" s="62" t="s">
        <v>837</v>
      </c>
      <c r="L67" s="52" t="s">
        <v>319</v>
      </c>
      <c r="M67" s="22" t="s">
        <v>125</v>
      </c>
      <c r="N67" s="27">
        <v>44469</v>
      </c>
      <c r="O67" s="27" t="s">
        <v>797</v>
      </c>
      <c r="P67" s="27" t="s">
        <v>1233</v>
      </c>
      <c r="Q67" s="22" t="s">
        <v>69</v>
      </c>
      <c r="R67" s="22" t="s">
        <v>869</v>
      </c>
      <c r="S67" s="94" t="s">
        <v>1238</v>
      </c>
      <c r="T67" s="22">
        <v>700</v>
      </c>
      <c r="U67" s="218">
        <v>2</v>
      </c>
      <c r="V67" s="228" t="s">
        <v>1348</v>
      </c>
      <c r="W67" s="22"/>
      <c r="X67" s="22" t="s">
        <v>1482</v>
      </c>
      <c r="Y67" s="22"/>
      <c r="Z67" s="22" t="s">
        <v>2155</v>
      </c>
      <c r="AA67" s="47" t="s">
        <v>1681</v>
      </c>
      <c r="AB67" s="47" t="s">
        <v>1971</v>
      </c>
      <c r="AC67" s="47"/>
      <c r="AD67" s="47"/>
      <c r="AE67" s="47"/>
      <c r="AF67" s="8" t="s">
        <v>2237</v>
      </c>
      <c r="AG67" s="220"/>
    </row>
    <row r="68" spans="1:89" s="64" customFormat="1" ht="17.399999999999999">
      <c r="A68" s="30">
        <f t="shared" si="5"/>
        <v>67</v>
      </c>
      <c r="B68" s="33" t="s">
        <v>534</v>
      </c>
      <c r="C68" s="22" t="s">
        <v>535</v>
      </c>
      <c r="D68" s="33" t="s">
        <v>111</v>
      </c>
      <c r="E68" s="33" t="s">
        <v>53</v>
      </c>
      <c r="F68" s="22" t="s">
        <v>83</v>
      </c>
      <c r="G68" s="22" t="s">
        <v>442</v>
      </c>
      <c r="H68" s="22" t="s">
        <v>555</v>
      </c>
      <c r="I68" s="51" t="str">
        <f t="shared" si="4"/>
        <v>경기</v>
      </c>
      <c r="J68" s="51" t="s">
        <v>565</v>
      </c>
      <c r="K68" s="62" t="s">
        <v>829</v>
      </c>
      <c r="L68" s="52" t="s">
        <v>536</v>
      </c>
      <c r="M68" s="22" t="s">
        <v>464</v>
      </c>
      <c r="N68" s="27">
        <v>44616</v>
      </c>
      <c r="O68" s="27">
        <v>44483</v>
      </c>
      <c r="P68" s="27" t="s">
        <v>1233</v>
      </c>
      <c r="Q68" s="22" t="s">
        <v>69</v>
      </c>
      <c r="R68" s="22" t="s">
        <v>871</v>
      </c>
      <c r="S68" s="12" t="s">
        <v>871</v>
      </c>
      <c r="T68" s="22">
        <v>700</v>
      </c>
      <c r="U68" s="12">
        <v>1</v>
      </c>
      <c r="V68" s="52"/>
      <c r="W68" s="221"/>
      <c r="X68" s="22" t="s">
        <v>1482</v>
      </c>
      <c r="Y68" s="222"/>
      <c r="Z68" s="221" t="s">
        <v>2155</v>
      </c>
      <c r="AA68" s="47" t="s">
        <v>1993</v>
      </c>
      <c r="AB68" s="47" t="s">
        <v>1680</v>
      </c>
      <c r="AC68" s="47"/>
      <c r="AD68" s="47"/>
      <c r="AE68" s="47"/>
      <c r="AF68" s="8" t="s">
        <v>2277</v>
      </c>
      <c r="AG68" s="222"/>
    </row>
    <row r="69" spans="1:89" s="57" customFormat="1" ht="17.399999999999999">
      <c r="A69" s="30">
        <f t="shared" si="5"/>
        <v>68</v>
      </c>
      <c r="B69" s="33" t="s">
        <v>537</v>
      </c>
      <c r="C69" s="22" t="s">
        <v>538</v>
      </c>
      <c r="D69" s="33" t="s">
        <v>111</v>
      </c>
      <c r="E69" s="33" t="s">
        <v>53</v>
      </c>
      <c r="F69" s="22" t="s">
        <v>136</v>
      </c>
      <c r="G69" s="22" t="s">
        <v>441</v>
      </c>
      <c r="H69" s="22" t="s">
        <v>408</v>
      </c>
      <c r="I69" s="51" t="str">
        <f t="shared" si="4"/>
        <v>전북</v>
      </c>
      <c r="J69" s="51" t="s">
        <v>568</v>
      </c>
      <c r="K69" s="84" t="s">
        <v>539</v>
      </c>
      <c r="L69" s="52" t="s">
        <v>601</v>
      </c>
      <c r="M69" s="22" t="s">
        <v>86</v>
      </c>
      <c r="N69" s="27">
        <v>44620</v>
      </c>
      <c r="O69" s="27">
        <v>44286</v>
      </c>
      <c r="P69" s="27" t="s">
        <v>1235</v>
      </c>
      <c r="Q69" s="22" t="s">
        <v>69</v>
      </c>
      <c r="R69" s="22" t="s">
        <v>871</v>
      </c>
      <c r="S69" s="12" t="s">
        <v>871</v>
      </c>
      <c r="T69" s="22">
        <v>700</v>
      </c>
      <c r="U69" s="12">
        <v>2</v>
      </c>
      <c r="V69" s="52"/>
      <c r="W69" s="221"/>
      <c r="X69" s="22" t="s">
        <v>1482</v>
      </c>
      <c r="Y69" s="222"/>
      <c r="Z69" s="221" t="s">
        <v>2155</v>
      </c>
      <c r="AA69" s="47" t="s">
        <v>1995</v>
      </c>
      <c r="AB69" s="47" t="s">
        <v>1996</v>
      </c>
      <c r="AC69" s="47"/>
      <c r="AD69" s="47"/>
      <c r="AE69" s="47"/>
      <c r="AF69" s="8" t="s">
        <v>2280</v>
      </c>
      <c r="AG69" s="222" t="s">
        <v>2281</v>
      </c>
    </row>
    <row r="70" spans="1:89" s="54" customFormat="1" ht="31.2">
      <c r="A70" s="74">
        <f t="shared" si="5"/>
        <v>69</v>
      </c>
      <c r="B70" s="82" t="s">
        <v>527</v>
      </c>
      <c r="C70" s="48" t="s">
        <v>528</v>
      </c>
      <c r="D70" s="82" t="s">
        <v>111</v>
      </c>
      <c r="E70" s="82" t="s">
        <v>53</v>
      </c>
      <c r="F70" s="48" t="s">
        <v>136</v>
      </c>
      <c r="G70" s="48" t="s">
        <v>441</v>
      </c>
      <c r="H70" s="48" t="s">
        <v>760</v>
      </c>
      <c r="I70" s="86" t="str">
        <f t="shared" si="4"/>
        <v>경기</v>
      </c>
      <c r="J70" s="86" t="s">
        <v>565</v>
      </c>
      <c r="K70" s="160" t="s">
        <v>529</v>
      </c>
      <c r="L70" s="80" t="s">
        <v>530</v>
      </c>
      <c r="M70" s="48" t="s">
        <v>464</v>
      </c>
      <c r="N70" s="115">
        <v>44614</v>
      </c>
      <c r="O70" s="115">
        <v>44406</v>
      </c>
      <c r="P70" s="115" t="s">
        <v>1233</v>
      </c>
      <c r="Q70" s="48" t="s">
        <v>69</v>
      </c>
      <c r="R70" s="48" t="s">
        <v>869</v>
      </c>
      <c r="S70" s="97" t="s">
        <v>423</v>
      </c>
      <c r="T70" s="48">
        <v>700</v>
      </c>
      <c r="U70" s="97">
        <v>1</v>
      </c>
      <c r="V70" s="80"/>
      <c r="W70" s="248"/>
      <c r="X70" s="48" t="s">
        <v>1482</v>
      </c>
      <c r="Y70" s="249"/>
      <c r="Z70" s="248" t="s">
        <v>2150</v>
      </c>
      <c r="AA70" s="393" t="s">
        <v>1991</v>
      </c>
      <c r="AB70" s="393" t="s">
        <v>1992</v>
      </c>
      <c r="AC70" s="393"/>
      <c r="AD70" s="393"/>
      <c r="AE70" s="393"/>
      <c r="AF70" s="233" t="s">
        <v>2276</v>
      </c>
      <c r="AG70" s="249"/>
    </row>
    <row r="71" spans="1:89" s="57" customFormat="1" ht="34.799999999999997">
      <c r="A71" s="30">
        <f t="shared" si="5"/>
        <v>70</v>
      </c>
      <c r="B71" s="22" t="s">
        <v>610</v>
      </c>
      <c r="C71" s="22" t="s">
        <v>616</v>
      </c>
      <c r="D71" s="22" t="s">
        <v>111</v>
      </c>
      <c r="E71" s="22" t="s">
        <v>53</v>
      </c>
      <c r="F71" s="22" t="s">
        <v>83</v>
      </c>
      <c r="G71" s="22" t="s">
        <v>442</v>
      </c>
      <c r="H71" s="22" t="s">
        <v>409</v>
      </c>
      <c r="I71" s="51" t="s">
        <v>611</v>
      </c>
      <c r="J71" s="51" t="s">
        <v>568</v>
      </c>
      <c r="K71" s="62" t="s">
        <v>612</v>
      </c>
      <c r="L71" s="52" t="s">
        <v>613</v>
      </c>
      <c r="M71" s="22" t="s">
        <v>132</v>
      </c>
      <c r="N71" s="27">
        <v>44657</v>
      </c>
      <c r="O71" s="53">
        <v>44518</v>
      </c>
      <c r="P71" s="53" t="s">
        <v>1233</v>
      </c>
      <c r="Q71" s="22" t="s">
        <v>69</v>
      </c>
      <c r="R71" s="53" t="s">
        <v>871</v>
      </c>
      <c r="S71" s="22" t="s">
        <v>871</v>
      </c>
      <c r="T71" s="22">
        <v>700</v>
      </c>
      <c r="U71" s="22">
        <v>2</v>
      </c>
      <c r="V71" s="259" t="s">
        <v>1367</v>
      </c>
      <c r="W71" s="221"/>
      <c r="X71" s="22" t="s">
        <v>1482</v>
      </c>
      <c r="Y71" s="55" t="s">
        <v>1507</v>
      </c>
      <c r="Z71" s="28" t="s">
        <v>2150</v>
      </c>
      <c r="AA71" s="357" t="s">
        <v>2469</v>
      </c>
      <c r="AB71" s="47" t="s">
        <v>2003</v>
      </c>
      <c r="AC71" s="47"/>
      <c r="AD71" s="47"/>
      <c r="AE71" s="47"/>
      <c r="AF71" s="8" t="s">
        <v>2284</v>
      </c>
      <c r="AG71" s="220"/>
    </row>
    <row r="72" spans="1:89" s="304" customFormat="1" ht="34.799999999999997">
      <c r="A72" s="30">
        <f t="shared" si="5"/>
        <v>71</v>
      </c>
      <c r="B72" s="22" t="s">
        <v>2165</v>
      </c>
      <c r="C72" s="22" t="s">
        <v>556</v>
      </c>
      <c r="D72" s="22" t="s">
        <v>111</v>
      </c>
      <c r="E72" s="22" t="s">
        <v>53</v>
      </c>
      <c r="F72" s="22" t="s">
        <v>83</v>
      </c>
      <c r="G72" s="22" t="s">
        <v>442</v>
      </c>
      <c r="H72" s="22" t="s">
        <v>555</v>
      </c>
      <c r="I72" s="51" t="s">
        <v>557</v>
      </c>
      <c r="J72" s="51" t="s">
        <v>557</v>
      </c>
      <c r="K72" s="62" t="s">
        <v>558</v>
      </c>
      <c r="L72" s="52" t="s">
        <v>559</v>
      </c>
      <c r="M72" s="22" t="s">
        <v>59</v>
      </c>
      <c r="N72" s="27">
        <v>44623</v>
      </c>
      <c r="O72" s="53">
        <v>44483</v>
      </c>
      <c r="P72" s="53" t="s">
        <v>1233</v>
      </c>
      <c r="Q72" s="22" t="s">
        <v>69</v>
      </c>
      <c r="R72" s="22" t="s">
        <v>871</v>
      </c>
      <c r="S72" s="12" t="s">
        <v>871</v>
      </c>
      <c r="T72" s="22">
        <v>700</v>
      </c>
      <c r="U72" s="12">
        <v>1</v>
      </c>
      <c r="V72" s="52"/>
      <c r="W72" s="221"/>
      <c r="X72" s="22" t="s">
        <v>1482</v>
      </c>
      <c r="Y72" s="222"/>
      <c r="Z72" s="221" t="s">
        <v>2151</v>
      </c>
      <c r="AA72" s="47" t="s">
        <v>1997</v>
      </c>
      <c r="AB72" s="47" t="s">
        <v>1679</v>
      </c>
      <c r="AC72" s="47" t="s">
        <v>1874</v>
      </c>
      <c r="AD72" s="47">
        <v>502</v>
      </c>
      <c r="AE72" s="357" t="s">
        <v>2508</v>
      </c>
      <c r="AF72" s="8" t="s">
        <v>2257</v>
      </c>
      <c r="AG72" s="222"/>
    </row>
    <row r="73" spans="1:89" s="54" customFormat="1" ht="46.8">
      <c r="A73" s="30">
        <f t="shared" si="5"/>
        <v>72</v>
      </c>
      <c r="B73" s="7" t="s">
        <v>1114</v>
      </c>
      <c r="C73" s="7" t="s">
        <v>599</v>
      </c>
      <c r="D73" s="14" t="s">
        <v>111</v>
      </c>
      <c r="E73" s="14" t="s">
        <v>53</v>
      </c>
      <c r="F73" s="14" t="s">
        <v>136</v>
      </c>
      <c r="G73" s="14" t="s">
        <v>441</v>
      </c>
      <c r="H73" s="14" t="s">
        <v>408</v>
      </c>
      <c r="I73" s="51" t="s">
        <v>557</v>
      </c>
      <c r="J73" s="51" t="s">
        <v>557</v>
      </c>
      <c r="K73" s="220" t="s">
        <v>1106</v>
      </c>
      <c r="L73" s="7" t="s">
        <v>600</v>
      </c>
      <c r="M73" s="14" t="s">
        <v>59</v>
      </c>
      <c r="N73" s="24">
        <v>44649</v>
      </c>
      <c r="O73" s="24" t="s">
        <v>1115</v>
      </c>
      <c r="P73" s="24" t="s">
        <v>1235</v>
      </c>
      <c r="Q73" s="14" t="s">
        <v>69</v>
      </c>
      <c r="R73" s="14" t="s">
        <v>869</v>
      </c>
      <c r="S73" s="14" t="s">
        <v>119</v>
      </c>
      <c r="T73" s="14">
        <v>700</v>
      </c>
      <c r="U73" s="14">
        <v>3</v>
      </c>
      <c r="V73" s="52" t="s">
        <v>1366</v>
      </c>
      <c r="W73" s="221" t="s">
        <v>1491</v>
      </c>
      <c r="X73" s="22" t="s">
        <v>1482</v>
      </c>
      <c r="Y73" s="222"/>
      <c r="Z73" s="221" t="s">
        <v>2150</v>
      </c>
      <c r="AA73" s="47" t="s">
        <v>1678</v>
      </c>
      <c r="AB73" s="47" t="s">
        <v>1677</v>
      </c>
      <c r="AC73" s="47"/>
      <c r="AD73" s="47"/>
      <c r="AE73" s="47"/>
      <c r="AF73" s="8" t="s">
        <v>2283</v>
      </c>
      <c r="AG73" s="8"/>
    </row>
    <row r="74" spans="1:89" s="173" customFormat="1" ht="34.799999999999997">
      <c r="A74" s="30">
        <f t="shared" si="5"/>
        <v>73</v>
      </c>
      <c r="B74" s="7" t="s">
        <v>592</v>
      </c>
      <c r="C74" s="7" t="s">
        <v>593</v>
      </c>
      <c r="D74" s="14" t="s">
        <v>111</v>
      </c>
      <c r="E74" s="14" t="s">
        <v>53</v>
      </c>
      <c r="F74" s="14" t="s">
        <v>136</v>
      </c>
      <c r="G74" s="14" t="s">
        <v>441</v>
      </c>
      <c r="H74" s="14" t="s">
        <v>598</v>
      </c>
      <c r="I74" s="51" t="s">
        <v>594</v>
      </c>
      <c r="J74" s="51" t="s">
        <v>568</v>
      </c>
      <c r="K74" s="220" t="s">
        <v>595</v>
      </c>
      <c r="L74" s="7" t="s">
        <v>597</v>
      </c>
      <c r="M74" s="14" t="s">
        <v>134</v>
      </c>
      <c r="N74" s="34">
        <v>44643</v>
      </c>
      <c r="O74" s="34">
        <v>44467</v>
      </c>
      <c r="P74" s="34" t="s">
        <v>1235</v>
      </c>
      <c r="Q74" s="14" t="s">
        <v>69</v>
      </c>
      <c r="R74" s="14" t="s">
        <v>872</v>
      </c>
      <c r="S74" s="14" t="s">
        <v>872</v>
      </c>
      <c r="T74" s="14">
        <v>700</v>
      </c>
      <c r="U74" s="14">
        <v>2</v>
      </c>
      <c r="V74" s="52"/>
      <c r="W74" s="221"/>
      <c r="X74" s="22" t="s">
        <v>1482</v>
      </c>
      <c r="Y74" s="222"/>
      <c r="Z74" s="221" t="s">
        <v>2150</v>
      </c>
      <c r="AA74" s="47" t="s">
        <v>1675</v>
      </c>
      <c r="AB74" s="47" t="s">
        <v>2000</v>
      </c>
      <c r="AC74" s="47" t="s">
        <v>2001</v>
      </c>
      <c r="AD74" s="47" t="s">
        <v>1920</v>
      </c>
      <c r="AE74" s="357" t="s">
        <v>2289</v>
      </c>
      <c r="AF74" s="32" t="s">
        <v>2465</v>
      </c>
      <c r="AG74" s="222" t="s">
        <v>2410</v>
      </c>
      <c r="AH74" s="391"/>
      <c r="AI74" s="391"/>
      <c r="AJ74" s="391"/>
      <c r="AK74" s="391"/>
      <c r="AL74" s="391"/>
      <c r="AM74" s="391"/>
      <c r="AN74" s="391"/>
      <c r="AO74" s="391"/>
      <c r="AP74" s="391"/>
      <c r="AQ74" s="391"/>
      <c r="AR74" s="391"/>
      <c r="AS74" s="391"/>
      <c r="AT74" s="391"/>
      <c r="AU74" s="391"/>
      <c r="AV74" s="391"/>
      <c r="AW74" s="391"/>
      <c r="AX74" s="391"/>
      <c r="AY74" s="391"/>
      <c r="AZ74" s="391"/>
      <c r="BA74" s="391"/>
      <c r="BB74" s="391"/>
      <c r="BC74" s="391"/>
      <c r="BD74" s="391"/>
      <c r="BE74" s="391"/>
      <c r="BF74" s="391"/>
      <c r="BG74" s="391"/>
      <c r="BH74" s="391"/>
      <c r="BI74" s="391"/>
      <c r="BJ74" s="391"/>
      <c r="BK74" s="391"/>
      <c r="BL74" s="391"/>
      <c r="BM74" s="391"/>
      <c r="BN74" s="391"/>
      <c r="BO74" s="391"/>
      <c r="BP74" s="391"/>
      <c r="BQ74" s="391"/>
      <c r="BR74" s="391"/>
      <c r="BS74" s="391"/>
      <c r="BT74" s="391"/>
      <c r="BU74" s="391"/>
      <c r="BV74" s="391"/>
      <c r="BW74" s="391"/>
      <c r="BX74" s="391"/>
      <c r="BY74" s="391"/>
      <c r="BZ74" s="391"/>
      <c r="CA74" s="391"/>
      <c r="CB74" s="391"/>
      <c r="CC74" s="391"/>
      <c r="CD74" s="391"/>
      <c r="CE74" s="391"/>
      <c r="CF74" s="391"/>
      <c r="CG74" s="391"/>
      <c r="CH74" s="391"/>
      <c r="CI74" s="391"/>
      <c r="CJ74" s="391"/>
      <c r="CK74" s="391"/>
    </row>
    <row r="75" spans="1:89" s="399" customFormat="1" ht="46.8">
      <c r="A75" s="30">
        <f t="shared" si="5"/>
        <v>74</v>
      </c>
      <c r="B75" s="7" t="s">
        <v>2166</v>
      </c>
      <c r="C75" s="7" t="s">
        <v>605</v>
      </c>
      <c r="D75" s="14" t="s">
        <v>424</v>
      </c>
      <c r="E75" s="33" t="s">
        <v>712</v>
      </c>
      <c r="F75" s="14" t="s">
        <v>136</v>
      </c>
      <c r="G75" s="14" t="s">
        <v>441</v>
      </c>
      <c r="H75" s="14" t="s">
        <v>96</v>
      </c>
      <c r="I75" s="51" t="s">
        <v>606</v>
      </c>
      <c r="J75" s="51" t="s">
        <v>569</v>
      </c>
      <c r="K75" s="220" t="s">
        <v>607</v>
      </c>
      <c r="L75" s="7" t="s">
        <v>608</v>
      </c>
      <c r="M75" s="14" t="s">
        <v>125</v>
      </c>
      <c r="N75" s="24">
        <v>44649</v>
      </c>
      <c r="O75" s="24" t="s">
        <v>609</v>
      </c>
      <c r="P75" s="24" t="s">
        <v>1235</v>
      </c>
      <c r="Q75" s="14" t="s">
        <v>69</v>
      </c>
      <c r="R75" s="14" t="s">
        <v>872</v>
      </c>
      <c r="S75" s="14" t="s">
        <v>872</v>
      </c>
      <c r="T75" s="14">
        <v>700</v>
      </c>
      <c r="U75" s="14">
        <v>2</v>
      </c>
      <c r="V75" s="258" t="s">
        <v>1365</v>
      </c>
      <c r="W75" s="221"/>
      <c r="X75" s="22" t="s">
        <v>1482</v>
      </c>
      <c r="Y75" s="222"/>
      <c r="Z75" s="221" t="s">
        <v>2151</v>
      </c>
      <c r="AA75" s="47" t="s">
        <v>2002</v>
      </c>
      <c r="AB75" s="47" t="s">
        <v>1674</v>
      </c>
      <c r="AC75" s="47" t="s">
        <v>1919</v>
      </c>
      <c r="AD75" s="47" t="s">
        <v>1920</v>
      </c>
      <c r="AE75" s="47"/>
      <c r="AF75" s="32" t="s">
        <v>2466</v>
      </c>
      <c r="AG75" s="222" t="s">
        <v>2467</v>
      </c>
    </row>
    <row r="76" spans="1:89" s="304" customFormat="1" ht="34.799999999999997">
      <c r="A76" s="30">
        <f t="shared" si="5"/>
        <v>75</v>
      </c>
      <c r="B76" s="22" t="s">
        <v>614</v>
      </c>
      <c r="C76" s="22" t="s">
        <v>615</v>
      </c>
      <c r="D76" s="22" t="s">
        <v>111</v>
      </c>
      <c r="E76" s="22" t="s">
        <v>53</v>
      </c>
      <c r="F76" s="22" t="s">
        <v>83</v>
      </c>
      <c r="G76" s="22" t="s">
        <v>442</v>
      </c>
      <c r="H76" s="22" t="s">
        <v>617</v>
      </c>
      <c r="I76" s="51" t="s">
        <v>606</v>
      </c>
      <c r="J76" s="51" t="s">
        <v>569</v>
      </c>
      <c r="K76" s="62" t="s">
        <v>838</v>
      </c>
      <c r="L76" s="52" t="s">
        <v>618</v>
      </c>
      <c r="M76" s="22" t="s">
        <v>125</v>
      </c>
      <c r="N76" s="27">
        <v>44664</v>
      </c>
      <c r="O76" s="53">
        <v>44393</v>
      </c>
      <c r="P76" s="53" t="s">
        <v>1233</v>
      </c>
      <c r="Q76" s="22" t="s">
        <v>69</v>
      </c>
      <c r="R76" s="14" t="s">
        <v>869</v>
      </c>
      <c r="S76" s="14" t="s">
        <v>119</v>
      </c>
      <c r="T76" s="22">
        <v>700</v>
      </c>
      <c r="U76" s="22">
        <v>1</v>
      </c>
      <c r="V76" s="52"/>
      <c r="W76" s="221"/>
      <c r="X76" s="22" t="s">
        <v>1482</v>
      </c>
      <c r="Y76" s="222"/>
      <c r="Z76" s="221" t="s">
        <v>2150</v>
      </c>
      <c r="AA76" s="47" t="s">
        <v>1673</v>
      </c>
      <c r="AB76" s="47" t="s">
        <v>1672</v>
      </c>
      <c r="AC76" s="47" t="s">
        <v>1919</v>
      </c>
      <c r="AD76" s="47" t="s">
        <v>1920</v>
      </c>
      <c r="AE76" s="357" t="s">
        <v>2291</v>
      </c>
      <c r="AF76" s="32" t="s">
        <v>2484</v>
      </c>
      <c r="AG76" s="21" t="s">
        <v>2468</v>
      </c>
    </row>
    <row r="77" spans="1:89" s="71" customFormat="1" ht="17.399999999999999">
      <c r="A77" s="65">
        <f t="shared" si="5"/>
        <v>76</v>
      </c>
      <c r="B77" s="50" t="s">
        <v>654</v>
      </c>
      <c r="C77" s="50" t="s">
        <v>653</v>
      </c>
      <c r="D77" s="50" t="s">
        <v>111</v>
      </c>
      <c r="E77" s="50" t="s">
        <v>53</v>
      </c>
      <c r="F77" s="50" t="s">
        <v>145</v>
      </c>
      <c r="G77" s="50" t="s">
        <v>441</v>
      </c>
      <c r="H77" s="50" t="s">
        <v>655</v>
      </c>
      <c r="I77" s="66" t="s">
        <v>565</v>
      </c>
      <c r="J77" s="66" t="s">
        <v>565</v>
      </c>
      <c r="K77" s="122" t="s">
        <v>656</v>
      </c>
      <c r="L77" s="67" t="s">
        <v>658</v>
      </c>
      <c r="M77" s="50" t="s">
        <v>116</v>
      </c>
      <c r="N77" s="68">
        <v>44732</v>
      </c>
      <c r="O77" s="69">
        <v>44404</v>
      </c>
      <c r="P77" s="69" t="s">
        <v>1233</v>
      </c>
      <c r="Q77" s="50" t="s">
        <v>69</v>
      </c>
      <c r="R77" s="85" t="s">
        <v>272</v>
      </c>
      <c r="S77" s="65" t="s">
        <v>378</v>
      </c>
      <c r="T77" s="85">
        <v>700</v>
      </c>
      <c r="U77" s="85">
        <v>2</v>
      </c>
      <c r="V77" s="67"/>
      <c r="W77" s="252"/>
      <c r="X77" s="50" t="s">
        <v>1482</v>
      </c>
      <c r="Y77" s="253"/>
      <c r="Z77" s="252" t="s">
        <v>2155</v>
      </c>
      <c r="AA77" s="397" t="s">
        <v>1655</v>
      </c>
      <c r="AB77" s="397" t="s">
        <v>1671</v>
      </c>
      <c r="AC77" s="397" t="s">
        <v>1937</v>
      </c>
      <c r="AD77" s="397" t="s">
        <v>1918</v>
      </c>
      <c r="AE77" s="398"/>
      <c r="AF77" s="240" t="s">
        <v>2296</v>
      </c>
      <c r="AG77" s="253"/>
    </row>
    <row r="78" spans="1:89" s="77" customFormat="1" ht="17.399999999999999">
      <c r="A78" s="30">
        <f t="shared" si="5"/>
        <v>77</v>
      </c>
      <c r="B78" s="22" t="s">
        <v>481</v>
      </c>
      <c r="C78" s="22" t="s">
        <v>482</v>
      </c>
      <c r="D78" s="22" t="s">
        <v>111</v>
      </c>
      <c r="E78" s="22" t="s">
        <v>53</v>
      </c>
      <c r="F78" s="22" t="s">
        <v>83</v>
      </c>
      <c r="G78" s="22" t="s">
        <v>442</v>
      </c>
      <c r="H78" s="22" t="s">
        <v>542</v>
      </c>
      <c r="I78" s="51" t="str">
        <f>LEFT(K78,2)</f>
        <v>부산</v>
      </c>
      <c r="J78" s="51" t="s">
        <v>564</v>
      </c>
      <c r="K78" s="20" t="s">
        <v>483</v>
      </c>
      <c r="L78" s="52" t="s">
        <v>484</v>
      </c>
      <c r="M78" s="22" t="s">
        <v>485</v>
      </c>
      <c r="N78" s="27">
        <v>44540</v>
      </c>
      <c r="O78" s="53">
        <v>43903</v>
      </c>
      <c r="P78" s="53" t="s">
        <v>1233</v>
      </c>
      <c r="Q78" s="22" t="s">
        <v>69</v>
      </c>
      <c r="R78" s="22" t="s">
        <v>139</v>
      </c>
      <c r="S78" s="30" t="s">
        <v>1237</v>
      </c>
      <c r="T78" s="22">
        <v>700</v>
      </c>
      <c r="U78" s="30">
        <v>1</v>
      </c>
      <c r="V78" s="22"/>
      <c r="W78" s="22"/>
      <c r="X78" s="22" t="s">
        <v>1482</v>
      </c>
      <c r="Y78" s="42"/>
      <c r="Z78" s="22" t="s">
        <v>2150</v>
      </c>
      <c r="AA78" s="47" t="s">
        <v>1670</v>
      </c>
      <c r="AB78" s="47" t="s">
        <v>1669</v>
      </c>
      <c r="AC78" s="47"/>
      <c r="AD78" s="47"/>
      <c r="AE78" s="47"/>
      <c r="AF78" s="363" t="s">
        <v>2266</v>
      </c>
      <c r="AG78" s="222"/>
    </row>
    <row r="79" spans="1:89" s="77" customFormat="1" ht="17.399999999999999">
      <c r="A79" s="30">
        <f t="shared" si="5"/>
        <v>78</v>
      </c>
      <c r="B79" s="78" t="s">
        <v>2507</v>
      </c>
      <c r="C79" s="22" t="s">
        <v>619</v>
      </c>
      <c r="D79" s="22" t="s">
        <v>111</v>
      </c>
      <c r="E79" s="22" t="s">
        <v>53</v>
      </c>
      <c r="F79" s="22" t="s">
        <v>83</v>
      </c>
      <c r="G79" s="22" t="s">
        <v>442</v>
      </c>
      <c r="H79" s="22" t="s">
        <v>1400</v>
      </c>
      <c r="I79" s="51" t="s">
        <v>572</v>
      </c>
      <c r="J79" s="51" t="s">
        <v>568</v>
      </c>
      <c r="K79" s="62" t="s">
        <v>620</v>
      </c>
      <c r="L79" s="52" t="s">
        <v>621</v>
      </c>
      <c r="M79" s="22" t="s">
        <v>86</v>
      </c>
      <c r="N79" s="27">
        <v>44671</v>
      </c>
      <c r="O79" s="53">
        <v>44379</v>
      </c>
      <c r="P79" s="53" t="s">
        <v>1233</v>
      </c>
      <c r="Q79" s="22" t="s">
        <v>69</v>
      </c>
      <c r="R79" s="14" t="s">
        <v>872</v>
      </c>
      <c r="S79" s="14" t="s">
        <v>872</v>
      </c>
      <c r="T79" s="14">
        <v>700</v>
      </c>
      <c r="U79" s="14">
        <v>1</v>
      </c>
      <c r="V79" s="52"/>
      <c r="W79" s="221"/>
      <c r="X79" s="22" t="s">
        <v>1482</v>
      </c>
      <c r="Y79" s="222"/>
      <c r="Z79" s="221" t="s">
        <v>2155</v>
      </c>
      <c r="AA79" s="47" t="s">
        <v>1668</v>
      </c>
      <c r="AB79" s="47" t="s">
        <v>2004</v>
      </c>
      <c r="AC79" s="47"/>
      <c r="AD79" s="47"/>
      <c r="AE79" s="47"/>
      <c r="AF79" s="8" t="s">
        <v>2470</v>
      </c>
      <c r="AG79" s="222"/>
    </row>
    <row r="80" spans="1:89" s="57" customFormat="1" ht="17.399999999999999">
      <c r="A80" s="30">
        <f t="shared" si="5"/>
        <v>79</v>
      </c>
      <c r="B80" s="78" t="s">
        <v>622</v>
      </c>
      <c r="C80" s="22" t="s">
        <v>623</v>
      </c>
      <c r="D80" s="22" t="s">
        <v>111</v>
      </c>
      <c r="E80" s="22" t="s">
        <v>53</v>
      </c>
      <c r="F80" s="22" t="s">
        <v>83</v>
      </c>
      <c r="G80" s="22" t="s">
        <v>442</v>
      </c>
      <c r="H80" s="22" t="s">
        <v>1401</v>
      </c>
      <c r="I80" s="51" t="s">
        <v>572</v>
      </c>
      <c r="J80" s="51" t="s">
        <v>568</v>
      </c>
      <c r="K80" s="62" t="s">
        <v>624</v>
      </c>
      <c r="L80" s="52" t="s">
        <v>625</v>
      </c>
      <c r="M80" s="22" t="s">
        <v>86</v>
      </c>
      <c r="N80" s="27">
        <v>44677</v>
      </c>
      <c r="O80" s="53">
        <v>44435</v>
      </c>
      <c r="P80" s="53" t="s">
        <v>1233</v>
      </c>
      <c r="Q80" s="22" t="s">
        <v>69</v>
      </c>
      <c r="R80" s="14" t="s">
        <v>872</v>
      </c>
      <c r="S80" s="14" t="s">
        <v>872</v>
      </c>
      <c r="T80" s="14">
        <v>700</v>
      </c>
      <c r="U80" s="14">
        <v>1</v>
      </c>
      <c r="V80" s="52"/>
      <c r="W80" s="221"/>
      <c r="X80" s="22" t="s">
        <v>1482</v>
      </c>
      <c r="Y80" s="222"/>
      <c r="Z80" s="221" t="s">
        <v>2155</v>
      </c>
      <c r="AA80" s="47" t="s">
        <v>1667</v>
      </c>
      <c r="AB80" s="47" t="s">
        <v>1666</v>
      </c>
      <c r="AC80" s="47"/>
      <c r="AD80" s="47"/>
      <c r="AE80" s="47"/>
      <c r="AF80" s="8" t="s">
        <v>2292</v>
      </c>
      <c r="AG80" s="88"/>
    </row>
    <row r="81" spans="1:89" s="57" customFormat="1" ht="17.399999999999999">
      <c r="A81" s="30">
        <f t="shared" si="5"/>
        <v>80</v>
      </c>
      <c r="B81" s="78" t="s">
        <v>632</v>
      </c>
      <c r="C81" s="22" t="s">
        <v>633</v>
      </c>
      <c r="D81" s="22" t="s">
        <v>111</v>
      </c>
      <c r="E81" s="22" t="s">
        <v>53</v>
      </c>
      <c r="F81" s="22" t="s">
        <v>83</v>
      </c>
      <c r="G81" s="22" t="s">
        <v>442</v>
      </c>
      <c r="H81" s="22" t="s">
        <v>1402</v>
      </c>
      <c r="I81" s="51" t="s">
        <v>566</v>
      </c>
      <c r="J81" s="51" t="s">
        <v>566</v>
      </c>
      <c r="K81" s="62" t="s">
        <v>637</v>
      </c>
      <c r="L81" s="52" t="s">
        <v>634</v>
      </c>
      <c r="M81" s="22" t="s">
        <v>131</v>
      </c>
      <c r="N81" s="195">
        <v>44680</v>
      </c>
      <c r="O81" s="196">
        <v>44435</v>
      </c>
      <c r="P81" s="196" t="s">
        <v>1233</v>
      </c>
      <c r="Q81" s="22" t="s">
        <v>69</v>
      </c>
      <c r="R81" s="14" t="s">
        <v>872</v>
      </c>
      <c r="S81" s="199" t="s">
        <v>872</v>
      </c>
      <c r="T81" s="199">
        <v>700</v>
      </c>
      <c r="U81" s="199">
        <v>1</v>
      </c>
      <c r="V81" s="194"/>
      <c r="W81" s="221"/>
      <c r="X81" s="22" t="s">
        <v>1482</v>
      </c>
      <c r="Y81" s="222"/>
      <c r="Z81" s="221" t="s">
        <v>2150</v>
      </c>
      <c r="AA81" s="47" t="s">
        <v>1665</v>
      </c>
      <c r="AB81" s="47" t="s">
        <v>1664</v>
      </c>
      <c r="AC81" s="47" t="s">
        <v>2006</v>
      </c>
      <c r="AD81" s="47" t="s">
        <v>1920</v>
      </c>
      <c r="AE81" s="47"/>
      <c r="AF81" s="8" t="s">
        <v>2293</v>
      </c>
      <c r="AG81" s="222"/>
    </row>
    <row r="82" spans="1:89" s="57" customFormat="1" ht="31.2">
      <c r="A82" s="30">
        <f t="shared" si="5"/>
        <v>81</v>
      </c>
      <c r="B82" s="78" t="s">
        <v>635</v>
      </c>
      <c r="C82" s="22" t="s">
        <v>636</v>
      </c>
      <c r="D82" s="22" t="s">
        <v>111</v>
      </c>
      <c r="E82" s="22" t="s">
        <v>53</v>
      </c>
      <c r="F82" s="22" t="s">
        <v>145</v>
      </c>
      <c r="G82" s="22" t="s">
        <v>441</v>
      </c>
      <c r="H82" s="22" t="s">
        <v>409</v>
      </c>
      <c r="I82" s="51" t="s">
        <v>571</v>
      </c>
      <c r="J82" s="51" t="s">
        <v>571</v>
      </c>
      <c r="K82" s="62" t="s">
        <v>638</v>
      </c>
      <c r="L82" s="52" t="s">
        <v>639</v>
      </c>
      <c r="M82" s="22" t="s">
        <v>242</v>
      </c>
      <c r="N82" s="195">
        <v>44700</v>
      </c>
      <c r="O82" s="196">
        <v>44523</v>
      </c>
      <c r="P82" s="196" t="s">
        <v>1233</v>
      </c>
      <c r="Q82" s="22" t="s">
        <v>69</v>
      </c>
      <c r="R82" s="14" t="s">
        <v>869</v>
      </c>
      <c r="S82" s="199" t="s">
        <v>423</v>
      </c>
      <c r="T82" s="199">
        <v>700</v>
      </c>
      <c r="U82" s="199">
        <v>1</v>
      </c>
      <c r="V82" s="194"/>
      <c r="W82" s="221"/>
      <c r="X82" s="22" t="s">
        <v>1482</v>
      </c>
      <c r="Y82" s="222"/>
      <c r="Z82" s="221" t="s">
        <v>2150</v>
      </c>
      <c r="AA82" s="47" t="s">
        <v>1663</v>
      </c>
      <c r="AB82" s="47" t="s">
        <v>1662</v>
      </c>
      <c r="AC82" s="47" t="s">
        <v>1952</v>
      </c>
      <c r="AD82" s="47" t="s">
        <v>1920</v>
      </c>
      <c r="AE82" s="47"/>
      <c r="AF82" s="8" t="s">
        <v>2294</v>
      </c>
      <c r="AG82" s="8" t="s">
        <v>1853</v>
      </c>
    </row>
    <row r="83" spans="1:89" s="57" customFormat="1" ht="31.2">
      <c r="A83" s="30">
        <f t="shared" si="5"/>
        <v>82</v>
      </c>
      <c r="B83" s="322" t="s">
        <v>659</v>
      </c>
      <c r="C83" s="22" t="s">
        <v>626</v>
      </c>
      <c r="D83" s="22" t="s">
        <v>111</v>
      </c>
      <c r="E83" s="22" t="s">
        <v>53</v>
      </c>
      <c r="F83" s="22" t="s">
        <v>145</v>
      </c>
      <c r="G83" s="22" t="s">
        <v>441</v>
      </c>
      <c r="H83" s="22" t="s">
        <v>630</v>
      </c>
      <c r="I83" s="51" t="s">
        <v>631</v>
      </c>
      <c r="J83" s="51" t="s">
        <v>564</v>
      </c>
      <c r="K83" s="62" t="s">
        <v>628</v>
      </c>
      <c r="L83" s="52" t="s">
        <v>629</v>
      </c>
      <c r="M83" s="22" t="s">
        <v>110</v>
      </c>
      <c r="N83" s="195">
        <v>44676</v>
      </c>
      <c r="O83" s="195" t="s">
        <v>627</v>
      </c>
      <c r="P83" s="195" t="s">
        <v>1233</v>
      </c>
      <c r="Q83" s="22" t="s">
        <v>69</v>
      </c>
      <c r="R83" s="14" t="s">
        <v>871</v>
      </c>
      <c r="S83" s="199" t="s">
        <v>871</v>
      </c>
      <c r="T83" s="199">
        <v>700</v>
      </c>
      <c r="U83" s="199">
        <v>1</v>
      </c>
      <c r="V83" s="194"/>
      <c r="W83" s="221"/>
      <c r="X83" s="22" t="s">
        <v>1482</v>
      </c>
      <c r="Y83" s="88" t="s">
        <v>1489</v>
      </c>
      <c r="Z83" s="7" t="s">
        <v>2155</v>
      </c>
      <c r="AA83" s="47" t="s">
        <v>2005</v>
      </c>
      <c r="AB83" s="47" t="s">
        <v>1660</v>
      </c>
      <c r="AC83" s="47" t="s">
        <v>1923</v>
      </c>
      <c r="AD83" s="47" t="s">
        <v>1920</v>
      </c>
      <c r="AE83" s="47"/>
      <c r="AF83" s="8" t="s">
        <v>2471</v>
      </c>
      <c r="AG83" s="222"/>
    </row>
    <row r="84" spans="1:89" s="151" customFormat="1" ht="31.2">
      <c r="A84" s="30">
        <f t="shared" si="5"/>
        <v>83</v>
      </c>
      <c r="B84" s="78" t="s">
        <v>640</v>
      </c>
      <c r="C84" s="22" t="s">
        <v>641</v>
      </c>
      <c r="D84" s="22" t="s">
        <v>111</v>
      </c>
      <c r="E84" s="22" t="s">
        <v>53</v>
      </c>
      <c r="F84" s="22" t="s">
        <v>145</v>
      </c>
      <c r="G84" s="22" t="s">
        <v>441</v>
      </c>
      <c r="H84" s="22" t="s">
        <v>409</v>
      </c>
      <c r="I84" s="51" t="s">
        <v>611</v>
      </c>
      <c r="J84" s="51" t="s">
        <v>568</v>
      </c>
      <c r="K84" s="62" t="s">
        <v>642</v>
      </c>
      <c r="L84" s="52" t="s">
        <v>643</v>
      </c>
      <c r="M84" s="22" t="s">
        <v>134</v>
      </c>
      <c r="N84" s="195">
        <v>44715</v>
      </c>
      <c r="O84" s="196">
        <v>44529</v>
      </c>
      <c r="P84" s="196" t="s">
        <v>1233</v>
      </c>
      <c r="Q84" s="22" t="s">
        <v>69</v>
      </c>
      <c r="R84" s="14" t="s">
        <v>417</v>
      </c>
      <c r="S84" s="199" t="s">
        <v>417</v>
      </c>
      <c r="T84" s="199">
        <v>700</v>
      </c>
      <c r="U84" s="199">
        <v>1</v>
      </c>
      <c r="V84" s="194"/>
      <c r="W84" s="221"/>
      <c r="X84" s="22" t="s">
        <v>1482</v>
      </c>
      <c r="Y84" s="222"/>
      <c r="Z84" s="221" t="s">
        <v>2150</v>
      </c>
      <c r="AA84" s="47" t="s">
        <v>1661</v>
      </c>
      <c r="AB84" s="47" t="s">
        <v>1660</v>
      </c>
      <c r="AC84" s="47"/>
      <c r="AD84" s="47"/>
      <c r="AE84" s="47"/>
      <c r="AF84" s="32" t="s">
        <v>2472</v>
      </c>
      <c r="AG84" s="362" t="s">
        <v>2473</v>
      </c>
      <c r="AH84" s="49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  <c r="AW84" s="49"/>
      <c r="AX84" s="49"/>
      <c r="AY84" s="49"/>
      <c r="AZ84" s="49"/>
      <c r="BA84" s="49"/>
      <c r="BB84" s="49"/>
      <c r="BC84" s="49"/>
      <c r="BD84" s="49"/>
      <c r="BE84" s="49"/>
      <c r="BF84" s="49"/>
      <c r="BG84" s="49"/>
      <c r="BH84" s="49"/>
      <c r="BI84" s="49"/>
      <c r="BJ84" s="49"/>
      <c r="BK84" s="49"/>
      <c r="BL84" s="49"/>
      <c r="BM84" s="49"/>
      <c r="BN84" s="49"/>
      <c r="BO84" s="49"/>
      <c r="BP84" s="49"/>
      <c r="BQ84" s="49"/>
      <c r="BR84" s="49"/>
      <c r="BS84" s="49"/>
      <c r="BT84" s="49"/>
      <c r="BU84" s="49"/>
      <c r="BV84" s="49"/>
      <c r="BW84" s="49"/>
      <c r="BX84" s="49"/>
      <c r="BY84" s="49"/>
      <c r="BZ84" s="49"/>
      <c r="CA84" s="49"/>
      <c r="CB84" s="49"/>
      <c r="CC84" s="49"/>
      <c r="CD84" s="49"/>
      <c r="CE84" s="49"/>
      <c r="CF84" s="49"/>
      <c r="CG84" s="49"/>
      <c r="CH84" s="49"/>
      <c r="CI84" s="49"/>
      <c r="CJ84" s="49"/>
      <c r="CK84" s="49"/>
    </row>
    <row r="85" spans="1:89" s="77" customFormat="1" ht="34.799999999999997">
      <c r="A85" s="30">
        <f t="shared" si="5"/>
        <v>84</v>
      </c>
      <c r="B85" s="78" t="s">
        <v>644</v>
      </c>
      <c r="C85" s="22" t="s">
        <v>645</v>
      </c>
      <c r="D85" s="22" t="s">
        <v>111</v>
      </c>
      <c r="E85" s="22" t="s">
        <v>53</v>
      </c>
      <c r="F85" s="22" t="s">
        <v>145</v>
      </c>
      <c r="G85" s="22" t="s">
        <v>441</v>
      </c>
      <c r="H85" s="22" t="s">
        <v>753</v>
      </c>
      <c r="I85" s="51" t="s">
        <v>646</v>
      </c>
      <c r="J85" s="51" t="s">
        <v>569</v>
      </c>
      <c r="K85" s="62" t="s">
        <v>647</v>
      </c>
      <c r="L85" s="52" t="s">
        <v>648</v>
      </c>
      <c r="M85" s="22" t="s">
        <v>125</v>
      </c>
      <c r="N85" s="27">
        <v>44727</v>
      </c>
      <c r="O85" s="53">
        <v>44477</v>
      </c>
      <c r="P85" s="53" t="s">
        <v>1233</v>
      </c>
      <c r="Q85" s="22" t="s">
        <v>69</v>
      </c>
      <c r="R85" s="14" t="s">
        <v>106</v>
      </c>
      <c r="S85" s="94" t="s">
        <v>1238</v>
      </c>
      <c r="T85" s="14">
        <v>700</v>
      </c>
      <c r="U85" s="14">
        <v>1</v>
      </c>
      <c r="V85" s="52"/>
      <c r="W85" s="221"/>
      <c r="X85" s="22" t="s">
        <v>1482</v>
      </c>
      <c r="Y85" s="222"/>
      <c r="Z85" s="221" t="s">
        <v>2155</v>
      </c>
      <c r="AA85" s="47" t="s">
        <v>1659</v>
      </c>
      <c r="AB85" s="47" t="s">
        <v>1658</v>
      </c>
      <c r="AC85" s="47" t="s">
        <v>1923</v>
      </c>
      <c r="AD85" s="47" t="s">
        <v>1920</v>
      </c>
      <c r="AE85" s="357" t="s">
        <v>2415</v>
      </c>
      <c r="AF85" s="32" t="s">
        <v>2357</v>
      </c>
      <c r="AG85" s="222" t="s">
        <v>2474</v>
      </c>
    </row>
    <row r="86" spans="1:89" s="57" customFormat="1" ht="31.2">
      <c r="A86" s="30">
        <f t="shared" si="5"/>
        <v>85</v>
      </c>
      <c r="B86" s="78" t="s">
        <v>649</v>
      </c>
      <c r="C86" s="22" t="s">
        <v>650</v>
      </c>
      <c r="D86" s="22" t="s">
        <v>111</v>
      </c>
      <c r="E86" s="22" t="s">
        <v>53</v>
      </c>
      <c r="F86" s="22" t="s">
        <v>83</v>
      </c>
      <c r="G86" s="22" t="s">
        <v>442</v>
      </c>
      <c r="H86" s="22" t="s">
        <v>754</v>
      </c>
      <c r="I86" s="51" t="s">
        <v>565</v>
      </c>
      <c r="J86" s="51" t="s">
        <v>565</v>
      </c>
      <c r="K86" s="260" t="s">
        <v>657</v>
      </c>
      <c r="L86" s="52" t="s">
        <v>651</v>
      </c>
      <c r="M86" s="22" t="s">
        <v>652</v>
      </c>
      <c r="N86" s="27">
        <v>44729</v>
      </c>
      <c r="O86" s="53">
        <v>44536</v>
      </c>
      <c r="P86" s="53" t="s">
        <v>1233</v>
      </c>
      <c r="Q86" s="22" t="s">
        <v>69</v>
      </c>
      <c r="R86" s="14" t="s">
        <v>106</v>
      </c>
      <c r="S86" s="94" t="s">
        <v>1242</v>
      </c>
      <c r="T86" s="14">
        <v>700</v>
      </c>
      <c r="U86" s="14">
        <v>1</v>
      </c>
      <c r="V86" s="52"/>
      <c r="W86" s="221"/>
      <c r="X86" s="22" t="s">
        <v>1482</v>
      </c>
      <c r="Y86" s="222"/>
      <c r="Z86" s="221" t="s">
        <v>2150</v>
      </c>
      <c r="AA86" s="47" t="s">
        <v>1657</v>
      </c>
      <c r="AB86" s="47" t="s">
        <v>1656</v>
      </c>
      <c r="AC86" s="47"/>
      <c r="AD86" s="47"/>
      <c r="AE86" s="47"/>
      <c r="AF86" s="8" t="s">
        <v>2295</v>
      </c>
      <c r="AG86" s="222" t="s">
        <v>1490</v>
      </c>
    </row>
    <row r="87" spans="1:89" s="57" customFormat="1" ht="31.2">
      <c r="A87" s="30">
        <f t="shared" si="5"/>
        <v>86</v>
      </c>
      <c r="B87" s="78" t="s">
        <v>660</v>
      </c>
      <c r="C87" s="22" t="s">
        <v>661</v>
      </c>
      <c r="D87" s="22" t="s">
        <v>111</v>
      </c>
      <c r="E87" s="22" t="s">
        <v>53</v>
      </c>
      <c r="F87" s="22" t="s">
        <v>83</v>
      </c>
      <c r="G87" s="22" t="s">
        <v>442</v>
      </c>
      <c r="H87" s="22" t="s">
        <v>662</v>
      </c>
      <c r="I87" s="51" t="s">
        <v>565</v>
      </c>
      <c r="J87" s="51" t="s">
        <v>565</v>
      </c>
      <c r="K87" s="62" t="s">
        <v>663</v>
      </c>
      <c r="L87" s="52" t="s">
        <v>664</v>
      </c>
      <c r="M87" s="22" t="s">
        <v>116</v>
      </c>
      <c r="N87" s="27">
        <v>44741</v>
      </c>
      <c r="O87" s="53">
        <v>44483</v>
      </c>
      <c r="P87" s="53" t="s">
        <v>1233</v>
      </c>
      <c r="Q87" s="22" t="s">
        <v>69</v>
      </c>
      <c r="R87" s="14" t="s">
        <v>40</v>
      </c>
      <c r="S87" s="94" t="s">
        <v>1242</v>
      </c>
      <c r="T87" s="14">
        <v>700</v>
      </c>
      <c r="U87" s="14">
        <v>1</v>
      </c>
      <c r="V87" s="52"/>
      <c r="W87" s="221"/>
      <c r="X87" s="22" t="s">
        <v>1482</v>
      </c>
      <c r="Y87" s="222"/>
      <c r="Z87" s="221" t="s">
        <v>2150</v>
      </c>
      <c r="AA87" s="47" t="s">
        <v>1654</v>
      </c>
      <c r="AB87" s="47" t="s">
        <v>1653</v>
      </c>
      <c r="AC87" s="47" t="s">
        <v>1938</v>
      </c>
      <c r="AD87" s="47" t="s">
        <v>1918</v>
      </c>
      <c r="AE87" s="47"/>
      <c r="AF87" s="32" t="s">
        <v>2297</v>
      </c>
      <c r="AG87" s="222" t="s">
        <v>2475</v>
      </c>
    </row>
    <row r="88" spans="1:89" s="313" customFormat="1" ht="17.399999999999999">
      <c r="A88" s="30">
        <f t="shared" si="5"/>
        <v>87</v>
      </c>
      <c r="B88" s="78" t="s">
        <v>669</v>
      </c>
      <c r="C88" s="22" t="s">
        <v>670</v>
      </c>
      <c r="D88" s="22" t="s">
        <v>111</v>
      </c>
      <c r="E88" s="22" t="s">
        <v>53</v>
      </c>
      <c r="F88" s="22" t="s">
        <v>222</v>
      </c>
      <c r="G88" s="22" t="s">
        <v>441</v>
      </c>
      <c r="H88" s="22" t="s">
        <v>674</v>
      </c>
      <c r="I88" s="51" t="s">
        <v>566</v>
      </c>
      <c r="J88" s="51" t="s">
        <v>566</v>
      </c>
      <c r="K88" s="62" t="s">
        <v>672</v>
      </c>
      <c r="L88" s="52" t="s">
        <v>673</v>
      </c>
      <c r="M88" s="22" t="s">
        <v>159</v>
      </c>
      <c r="N88" s="27">
        <v>44742</v>
      </c>
      <c r="O88" s="53">
        <v>44267</v>
      </c>
      <c r="P88" s="53" t="s">
        <v>1233</v>
      </c>
      <c r="Q88" s="22" t="s">
        <v>69</v>
      </c>
      <c r="R88" s="14" t="s">
        <v>872</v>
      </c>
      <c r="S88" s="14" t="s">
        <v>872</v>
      </c>
      <c r="T88" s="14">
        <v>700</v>
      </c>
      <c r="U88" s="14">
        <v>1</v>
      </c>
      <c r="V88" s="52"/>
      <c r="W88" s="221"/>
      <c r="X88" s="22" t="s">
        <v>1482</v>
      </c>
      <c r="Y88" s="222"/>
      <c r="Z88" s="221" t="s">
        <v>2155</v>
      </c>
      <c r="AA88" s="47" t="s">
        <v>2007</v>
      </c>
      <c r="AB88" s="47" t="s">
        <v>2008</v>
      </c>
      <c r="AC88" s="47"/>
      <c r="AD88" s="47"/>
      <c r="AE88" s="47"/>
      <c r="AF88" s="8" t="s">
        <v>2298</v>
      </c>
      <c r="AG88" s="42"/>
    </row>
    <row r="89" spans="1:89" s="57" customFormat="1" ht="17.399999999999999">
      <c r="A89" s="30">
        <f t="shared" si="5"/>
        <v>88</v>
      </c>
      <c r="B89" s="78" t="s">
        <v>675</v>
      </c>
      <c r="C89" s="22" t="s">
        <v>676</v>
      </c>
      <c r="D89" s="22" t="s">
        <v>111</v>
      </c>
      <c r="E89" s="22" t="s">
        <v>53</v>
      </c>
      <c r="F89" s="22" t="s">
        <v>83</v>
      </c>
      <c r="G89" s="22" t="s">
        <v>442</v>
      </c>
      <c r="H89" s="22" t="s">
        <v>680</v>
      </c>
      <c r="I89" s="51" t="s">
        <v>677</v>
      </c>
      <c r="J89" s="51" t="s">
        <v>569</v>
      </c>
      <c r="K89" s="62" t="s">
        <v>678</v>
      </c>
      <c r="L89" s="52" t="s">
        <v>679</v>
      </c>
      <c r="M89" s="22" t="s">
        <v>80</v>
      </c>
      <c r="N89" s="27">
        <v>44749</v>
      </c>
      <c r="O89" s="53">
        <v>44656</v>
      </c>
      <c r="P89" s="53" t="s">
        <v>1233</v>
      </c>
      <c r="Q89" s="22" t="s">
        <v>69</v>
      </c>
      <c r="R89" s="14" t="s">
        <v>871</v>
      </c>
      <c r="S89" s="14" t="s">
        <v>871</v>
      </c>
      <c r="T89" s="14">
        <v>700</v>
      </c>
      <c r="U89" s="14">
        <v>1</v>
      </c>
      <c r="V89" s="52"/>
      <c r="W89" s="221"/>
      <c r="X89" s="22" t="s">
        <v>1482</v>
      </c>
      <c r="Y89" s="222"/>
      <c r="Z89" s="221" t="s">
        <v>2150</v>
      </c>
      <c r="AA89" s="47" t="s">
        <v>2009</v>
      </c>
      <c r="AB89" s="47" t="s">
        <v>1651</v>
      </c>
      <c r="AC89" s="47"/>
      <c r="AD89" s="47"/>
      <c r="AE89" s="47"/>
      <c r="AF89" s="8" t="s">
        <v>2299</v>
      </c>
      <c r="AG89" s="222"/>
    </row>
    <row r="90" spans="1:89" s="77" customFormat="1" ht="31.2">
      <c r="A90" s="94">
        <f t="shared" si="5"/>
        <v>89</v>
      </c>
      <c r="B90" s="22" t="s">
        <v>682</v>
      </c>
      <c r="C90" s="50" t="s">
        <v>683</v>
      </c>
      <c r="D90" s="50" t="s">
        <v>111</v>
      </c>
      <c r="E90" s="50" t="s">
        <v>53</v>
      </c>
      <c r="F90" s="50" t="s">
        <v>83</v>
      </c>
      <c r="G90" s="50" t="s">
        <v>442</v>
      </c>
      <c r="H90" s="22" t="s">
        <v>684</v>
      </c>
      <c r="I90" s="66" t="s">
        <v>677</v>
      </c>
      <c r="J90" s="66" t="s">
        <v>569</v>
      </c>
      <c r="K90" s="183" t="s">
        <v>685</v>
      </c>
      <c r="L90" s="52" t="s">
        <v>686</v>
      </c>
      <c r="M90" s="22" t="s">
        <v>80</v>
      </c>
      <c r="N90" s="68">
        <v>44771</v>
      </c>
      <c r="O90" s="69">
        <v>44559</v>
      </c>
      <c r="P90" s="69" t="s">
        <v>1233</v>
      </c>
      <c r="Q90" s="22" t="s">
        <v>69</v>
      </c>
      <c r="R90" s="14" t="s">
        <v>871</v>
      </c>
      <c r="S90" s="85" t="s">
        <v>871</v>
      </c>
      <c r="T90" s="85">
        <v>700</v>
      </c>
      <c r="U90" s="85">
        <v>1</v>
      </c>
      <c r="V90" s="67"/>
      <c r="W90" s="227"/>
      <c r="X90" s="22" t="s">
        <v>1482</v>
      </c>
      <c r="Y90" s="257"/>
      <c r="Z90" s="227" t="s">
        <v>2155</v>
      </c>
      <c r="AA90" s="47" t="s">
        <v>2010</v>
      </c>
      <c r="AB90" s="47" t="s">
        <v>1650</v>
      </c>
      <c r="AC90" s="47" t="s">
        <v>1923</v>
      </c>
      <c r="AD90" s="47" t="s">
        <v>1920</v>
      </c>
      <c r="AE90" s="47"/>
      <c r="AF90" s="8" t="s">
        <v>2300</v>
      </c>
      <c r="AG90" s="257"/>
    </row>
    <row r="91" spans="1:89" s="64" customFormat="1" ht="34.799999999999997">
      <c r="A91" s="30">
        <f t="shared" si="5"/>
        <v>90</v>
      </c>
      <c r="B91" s="13" t="s">
        <v>173</v>
      </c>
      <c r="C91" s="13" t="s">
        <v>330</v>
      </c>
      <c r="D91" s="30" t="s">
        <v>143</v>
      </c>
      <c r="E91" s="13" t="s">
        <v>4</v>
      </c>
      <c r="F91" s="16" t="s">
        <v>140</v>
      </c>
      <c r="G91" s="16" t="s">
        <v>441</v>
      </c>
      <c r="H91" s="13" t="s">
        <v>14</v>
      </c>
      <c r="I91" s="51" t="str">
        <f>LEFT(K91,2)</f>
        <v>광주</v>
      </c>
      <c r="J91" s="51" t="s">
        <v>568</v>
      </c>
      <c r="K91" s="92" t="s">
        <v>25</v>
      </c>
      <c r="L91" s="13" t="s">
        <v>212</v>
      </c>
      <c r="M91" s="13" t="s">
        <v>134</v>
      </c>
      <c r="N91" s="25">
        <v>41912</v>
      </c>
      <c r="O91" s="25">
        <v>41758</v>
      </c>
      <c r="P91" s="25" t="s">
        <v>1233</v>
      </c>
      <c r="Q91" s="30" t="s">
        <v>69</v>
      </c>
      <c r="R91" s="30" t="s">
        <v>13</v>
      </c>
      <c r="S91" s="217"/>
      <c r="T91" s="13" t="s">
        <v>68</v>
      </c>
      <c r="U91" s="218">
        <v>1</v>
      </c>
      <c r="V91" s="30"/>
      <c r="W91" s="22"/>
      <c r="X91" s="22" t="s">
        <v>1482</v>
      </c>
      <c r="Y91" s="22"/>
      <c r="Z91" s="22" t="s">
        <v>2155</v>
      </c>
      <c r="AA91" s="47" t="s">
        <v>2498</v>
      </c>
      <c r="AB91" s="47" t="s">
        <v>1922</v>
      </c>
      <c r="AC91" s="47" t="s">
        <v>1923</v>
      </c>
      <c r="AD91" s="47" t="s">
        <v>1920</v>
      </c>
      <c r="AE91" s="357" t="s">
        <v>2285</v>
      </c>
      <c r="AF91" s="32" t="s">
        <v>2320</v>
      </c>
      <c r="AG91" s="220" t="s">
        <v>2321</v>
      </c>
    </row>
    <row r="92" spans="1:89" s="70" customFormat="1" ht="46.8">
      <c r="A92" s="74">
        <f t="shared" si="5"/>
        <v>91</v>
      </c>
      <c r="B92" s="48" t="s">
        <v>2167</v>
      </c>
      <c r="C92" s="48" t="s">
        <v>734</v>
      </c>
      <c r="D92" s="48" t="s">
        <v>111</v>
      </c>
      <c r="E92" s="48" t="s">
        <v>53</v>
      </c>
      <c r="F92" s="48" t="s">
        <v>145</v>
      </c>
      <c r="G92" s="48" t="s">
        <v>441</v>
      </c>
      <c r="H92" s="48" t="s">
        <v>399</v>
      </c>
      <c r="I92" s="86" t="s">
        <v>557</v>
      </c>
      <c r="J92" s="86" t="s">
        <v>557</v>
      </c>
      <c r="K92" s="83" t="s">
        <v>708</v>
      </c>
      <c r="L92" s="80" t="s">
        <v>706</v>
      </c>
      <c r="M92" s="48" t="s">
        <v>705</v>
      </c>
      <c r="N92" s="115">
        <v>44804</v>
      </c>
      <c r="O92" s="115" t="s">
        <v>707</v>
      </c>
      <c r="P92" s="115" t="s">
        <v>1233</v>
      </c>
      <c r="Q92" s="48" t="s">
        <v>69</v>
      </c>
      <c r="R92" s="121" t="s">
        <v>869</v>
      </c>
      <c r="S92" s="121" t="s">
        <v>119</v>
      </c>
      <c r="T92" s="48">
        <v>700</v>
      </c>
      <c r="U92" s="48">
        <v>1</v>
      </c>
      <c r="V92" s="80" t="s">
        <v>1370</v>
      </c>
      <c r="W92" s="248"/>
      <c r="X92" s="48" t="s">
        <v>1482</v>
      </c>
      <c r="Y92" s="249"/>
      <c r="Z92" s="248" t="s">
        <v>2151</v>
      </c>
      <c r="AA92" s="393" t="s">
        <v>2019</v>
      </c>
      <c r="AB92" s="393" t="s">
        <v>2020</v>
      </c>
      <c r="AC92" s="393"/>
      <c r="AD92" s="393"/>
      <c r="AE92" s="393"/>
      <c r="AF92" s="249"/>
      <c r="AG92" s="233" t="s">
        <v>1912</v>
      </c>
    </row>
    <row r="93" spans="1:89" s="77" customFormat="1" ht="31.2">
      <c r="A93" s="74">
        <f t="shared" si="5"/>
        <v>92</v>
      </c>
      <c r="B93" s="48" t="s">
        <v>717</v>
      </c>
      <c r="C93" s="48" t="s">
        <v>718</v>
      </c>
      <c r="D93" s="48" t="s">
        <v>111</v>
      </c>
      <c r="E93" s="48" t="s">
        <v>53</v>
      </c>
      <c r="F93" s="48" t="s">
        <v>145</v>
      </c>
      <c r="G93" s="48" t="s">
        <v>441</v>
      </c>
      <c r="H93" s="48" t="s">
        <v>408</v>
      </c>
      <c r="I93" s="86" t="s">
        <v>677</v>
      </c>
      <c r="J93" s="86" t="s">
        <v>569</v>
      </c>
      <c r="K93" s="83" t="s">
        <v>726</v>
      </c>
      <c r="L93" s="80" t="s">
        <v>722</v>
      </c>
      <c r="M93" s="48" t="s">
        <v>56</v>
      </c>
      <c r="N93" s="115">
        <v>44825</v>
      </c>
      <c r="O93" s="115" t="s">
        <v>725</v>
      </c>
      <c r="P93" s="115" t="s">
        <v>1235</v>
      </c>
      <c r="Q93" s="48" t="s">
        <v>69</v>
      </c>
      <c r="R93" s="121" t="s">
        <v>872</v>
      </c>
      <c r="S93" s="121" t="s">
        <v>872</v>
      </c>
      <c r="T93" s="48" t="s">
        <v>68</v>
      </c>
      <c r="U93" s="48">
        <v>3</v>
      </c>
      <c r="V93" s="80" t="s">
        <v>1371</v>
      </c>
      <c r="W93" s="248"/>
      <c r="X93" s="48" t="s">
        <v>1482</v>
      </c>
      <c r="Y93" s="249"/>
      <c r="Z93" s="248" t="s">
        <v>2155</v>
      </c>
      <c r="AA93" s="393" t="s">
        <v>2023</v>
      </c>
      <c r="AB93" s="393" t="s">
        <v>1649</v>
      </c>
      <c r="AC93" s="393"/>
      <c r="AD93" s="393"/>
      <c r="AE93" s="393"/>
      <c r="AF93" s="233" t="s">
        <v>2302</v>
      </c>
      <c r="AG93" s="249"/>
    </row>
    <row r="94" spans="1:89" s="64" customFormat="1" ht="34.799999999999997">
      <c r="A94" s="65">
        <f t="shared" si="5"/>
        <v>93</v>
      </c>
      <c r="B94" s="50" t="s">
        <v>714</v>
      </c>
      <c r="C94" s="50" t="s">
        <v>715</v>
      </c>
      <c r="D94" s="50" t="s">
        <v>111</v>
      </c>
      <c r="E94" s="50" t="s">
        <v>53</v>
      </c>
      <c r="F94" s="50" t="s">
        <v>145</v>
      </c>
      <c r="G94" s="50" t="s">
        <v>441</v>
      </c>
      <c r="H94" s="50" t="s">
        <v>716</v>
      </c>
      <c r="I94" s="66" t="s">
        <v>565</v>
      </c>
      <c r="J94" s="66" t="s">
        <v>565</v>
      </c>
      <c r="K94" s="122" t="s">
        <v>721</v>
      </c>
      <c r="L94" s="67" t="s">
        <v>720</v>
      </c>
      <c r="M94" s="50" t="s">
        <v>116</v>
      </c>
      <c r="N94" s="68">
        <v>44820</v>
      </c>
      <c r="O94" s="68" t="s">
        <v>727</v>
      </c>
      <c r="P94" s="68" t="s">
        <v>1235</v>
      </c>
      <c r="Q94" s="50" t="s">
        <v>69</v>
      </c>
      <c r="R94" s="85" t="s">
        <v>699</v>
      </c>
      <c r="S94" s="65" t="s">
        <v>1238</v>
      </c>
      <c r="T94" s="50">
        <v>700</v>
      </c>
      <c r="U94" s="50">
        <v>2</v>
      </c>
      <c r="V94" s="67"/>
      <c r="W94" s="252"/>
      <c r="X94" s="50" t="s">
        <v>1482</v>
      </c>
      <c r="Y94" s="238" t="s">
        <v>1489</v>
      </c>
      <c r="Z94" s="89" t="s">
        <v>2155</v>
      </c>
      <c r="AA94" s="397" t="s">
        <v>2021</v>
      </c>
      <c r="AB94" s="397" t="s">
        <v>1648</v>
      </c>
      <c r="AC94" s="397" t="s">
        <v>2022</v>
      </c>
      <c r="AD94" s="397" t="s">
        <v>1918</v>
      </c>
      <c r="AE94" s="398" t="s">
        <v>2289</v>
      </c>
      <c r="AF94" s="240" t="s">
        <v>2480</v>
      </c>
      <c r="AG94" s="240" t="s">
        <v>1492</v>
      </c>
    </row>
    <row r="95" spans="1:89" s="57" customFormat="1" ht="31.2">
      <c r="A95" s="74">
        <f t="shared" si="5"/>
        <v>94</v>
      </c>
      <c r="B95" s="48" t="s">
        <v>2171</v>
      </c>
      <c r="C95" s="48" t="s">
        <v>843</v>
      </c>
      <c r="D95" s="48" t="s">
        <v>111</v>
      </c>
      <c r="E95" s="48" t="s">
        <v>53</v>
      </c>
      <c r="F95" s="48" t="s">
        <v>145</v>
      </c>
      <c r="G95" s="48" t="s">
        <v>441</v>
      </c>
      <c r="H95" s="48" t="s">
        <v>409</v>
      </c>
      <c r="I95" s="86" t="s">
        <v>566</v>
      </c>
      <c r="J95" s="86" t="s">
        <v>566</v>
      </c>
      <c r="K95" s="83" t="s">
        <v>846</v>
      </c>
      <c r="L95" s="80" t="s">
        <v>852</v>
      </c>
      <c r="M95" s="48" t="s">
        <v>131</v>
      </c>
      <c r="N95" s="115">
        <v>44988</v>
      </c>
      <c r="O95" s="115" t="s">
        <v>849</v>
      </c>
      <c r="P95" s="115" t="s">
        <v>1235</v>
      </c>
      <c r="Q95" s="48" t="s">
        <v>69</v>
      </c>
      <c r="R95" s="74" t="s">
        <v>40</v>
      </c>
      <c r="S95" s="74" t="s">
        <v>1242</v>
      </c>
      <c r="T95" s="48">
        <v>700</v>
      </c>
      <c r="U95" s="48">
        <v>2</v>
      </c>
      <c r="V95" s="400"/>
      <c r="W95" s="248"/>
      <c r="X95" s="48" t="s">
        <v>1482</v>
      </c>
      <c r="Y95" s="249"/>
      <c r="Z95" s="248" t="s">
        <v>2151</v>
      </c>
      <c r="AA95" s="393" t="s">
        <v>2043</v>
      </c>
      <c r="AB95" s="393" t="s">
        <v>1647</v>
      </c>
      <c r="AC95" s="393"/>
      <c r="AD95" s="393"/>
      <c r="AE95" s="393"/>
      <c r="AF95" s="233" t="s">
        <v>1479</v>
      </c>
      <c r="AG95" s="233" t="s">
        <v>1871</v>
      </c>
    </row>
    <row r="96" spans="1:89" s="77" customFormat="1" ht="62.4">
      <c r="A96" s="74">
        <f t="shared" si="5"/>
        <v>95</v>
      </c>
      <c r="B96" s="48" t="s">
        <v>2169</v>
      </c>
      <c r="C96" s="48" t="s">
        <v>696</v>
      </c>
      <c r="D96" s="48" t="s">
        <v>111</v>
      </c>
      <c r="E96" s="48" t="s">
        <v>53</v>
      </c>
      <c r="F96" s="48" t="s">
        <v>145</v>
      </c>
      <c r="G96" s="48" t="s">
        <v>441</v>
      </c>
      <c r="H96" s="48" t="s">
        <v>419</v>
      </c>
      <c r="I96" s="86" t="s">
        <v>566</v>
      </c>
      <c r="J96" s="86" t="s">
        <v>566</v>
      </c>
      <c r="K96" s="83" t="s">
        <v>697</v>
      </c>
      <c r="L96" s="80" t="s">
        <v>698</v>
      </c>
      <c r="M96" s="48" t="s">
        <v>131</v>
      </c>
      <c r="N96" s="115">
        <v>44796</v>
      </c>
      <c r="O96" s="128">
        <v>44517</v>
      </c>
      <c r="P96" s="128" t="s">
        <v>1235</v>
      </c>
      <c r="Q96" s="48" t="s">
        <v>69</v>
      </c>
      <c r="R96" s="74" t="s">
        <v>699</v>
      </c>
      <c r="S96" s="74" t="s">
        <v>1240</v>
      </c>
      <c r="T96" s="48">
        <v>700</v>
      </c>
      <c r="U96" s="121">
        <v>2</v>
      </c>
      <c r="V96" s="80" t="s">
        <v>1369</v>
      </c>
      <c r="W96" s="248"/>
      <c r="X96" s="48" t="s">
        <v>1482</v>
      </c>
      <c r="Y96" s="249"/>
      <c r="Z96" s="248" t="s">
        <v>2151</v>
      </c>
      <c r="AA96" s="393" t="s">
        <v>2013</v>
      </c>
      <c r="AB96" s="393" t="s">
        <v>2014</v>
      </c>
      <c r="AC96" s="393" t="s">
        <v>2015</v>
      </c>
      <c r="AD96" s="393" t="s">
        <v>1920</v>
      </c>
      <c r="AE96" s="393"/>
      <c r="AF96" s="156" t="s">
        <v>2314</v>
      </c>
      <c r="AG96" s="358" t="s">
        <v>2315</v>
      </c>
    </row>
    <row r="97" spans="1:33" s="49" customFormat="1" ht="87">
      <c r="A97" s="94">
        <f t="shared" si="5"/>
        <v>96</v>
      </c>
      <c r="B97" s="22" t="s">
        <v>2170</v>
      </c>
      <c r="C97" s="22" t="s">
        <v>1300</v>
      </c>
      <c r="D97" s="33" t="s">
        <v>1441</v>
      </c>
      <c r="E97" s="33" t="s">
        <v>1332</v>
      </c>
      <c r="F97" s="22" t="s">
        <v>145</v>
      </c>
      <c r="G97" s="22" t="s">
        <v>441</v>
      </c>
      <c r="H97" s="22" t="s">
        <v>406</v>
      </c>
      <c r="I97" s="104" t="s">
        <v>575</v>
      </c>
      <c r="J97" s="104" t="s">
        <v>564</v>
      </c>
      <c r="K97" s="183" t="s">
        <v>700</v>
      </c>
      <c r="L97" s="52" t="s">
        <v>701</v>
      </c>
      <c r="M97" s="22" t="s">
        <v>55</v>
      </c>
      <c r="N97" s="27">
        <v>44799</v>
      </c>
      <c r="O97" s="27" t="s">
        <v>1318</v>
      </c>
      <c r="P97" s="53" t="s">
        <v>1235</v>
      </c>
      <c r="Q97" s="22" t="s">
        <v>69</v>
      </c>
      <c r="R97" s="94" t="s">
        <v>695</v>
      </c>
      <c r="S97" s="14" t="s">
        <v>871</v>
      </c>
      <c r="T97" s="14">
        <v>700</v>
      </c>
      <c r="U97" s="14">
        <v>2</v>
      </c>
      <c r="V97" s="95" t="s">
        <v>1378</v>
      </c>
      <c r="W97" s="227"/>
      <c r="X97" s="22" t="s">
        <v>1498</v>
      </c>
      <c r="Y97" s="257"/>
      <c r="Z97" s="227" t="s">
        <v>2151</v>
      </c>
      <c r="AA97" s="47" t="s">
        <v>2016</v>
      </c>
      <c r="AB97" s="47" t="s">
        <v>2017</v>
      </c>
      <c r="AC97" s="47"/>
      <c r="AD97" s="47"/>
      <c r="AE97" s="47"/>
      <c r="AF97" s="32" t="s">
        <v>2316</v>
      </c>
      <c r="AG97" s="359" t="s">
        <v>2317</v>
      </c>
    </row>
    <row r="98" spans="1:33" s="57" customFormat="1" ht="17.399999999999999">
      <c r="A98" s="94">
        <f t="shared" si="5"/>
        <v>97</v>
      </c>
      <c r="B98" s="22" t="s">
        <v>2172</v>
      </c>
      <c r="C98" s="50" t="s">
        <v>832</v>
      </c>
      <c r="D98" s="50" t="s">
        <v>111</v>
      </c>
      <c r="E98" s="50" t="s">
        <v>53</v>
      </c>
      <c r="F98" s="50" t="s">
        <v>145</v>
      </c>
      <c r="G98" s="50" t="s">
        <v>441</v>
      </c>
      <c r="H98" s="22" t="s">
        <v>406</v>
      </c>
      <c r="I98" s="66" t="s">
        <v>575</v>
      </c>
      <c r="J98" s="66" t="s">
        <v>564</v>
      </c>
      <c r="K98" s="183" t="s">
        <v>833</v>
      </c>
      <c r="L98" s="52" t="s">
        <v>839</v>
      </c>
      <c r="M98" s="22" t="s">
        <v>55</v>
      </c>
      <c r="N98" s="68">
        <v>44979</v>
      </c>
      <c r="O98" s="68">
        <v>44792</v>
      </c>
      <c r="P98" s="68" t="s">
        <v>1233</v>
      </c>
      <c r="Q98" s="22" t="s">
        <v>69</v>
      </c>
      <c r="R98" s="94" t="s">
        <v>871</v>
      </c>
      <c r="S98" s="65" t="s">
        <v>871</v>
      </c>
      <c r="T98" s="50">
        <v>700</v>
      </c>
      <c r="U98" s="50">
        <v>2</v>
      </c>
      <c r="V98" s="269"/>
      <c r="W98" s="227"/>
      <c r="X98" s="22" t="s">
        <v>1482</v>
      </c>
      <c r="Y98" s="257"/>
      <c r="Z98" s="227" t="s">
        <v>2151</v>
      </c>
      <c r="AA98" s="47" t="s">
        <v>2039</v>
      </c>
      <c r="AB98" s="47" t="s">
        <v>2040</v>
      </c>
      <c r="AC98" s="47" t="s">
        <v>2041</v>
      </c>
      <c r="AD98" s="47" t="s">
        <v>1920</v>
      </c>
      <c r="AE98" s="47"/>
      <c r="AF98" s="8" t="s">
        <v>2330</v>
      </c>
      <c r="AG98" s="257"/>
    </row>
    <row r="99" spans="1:33" s="410" customFormat="1" ht="34.799999999999997">
      <c r="A99" s="94">
        <f t="shared" si="5"/>
        <v>98</v>
      </c>
      <c r="B99" s="7" t="s">
        <v>573</v>
      </c>
      <c r="C99" s="89" t="s">
        <v>574</v>
      </c>
      <c r="D99" s="85" t="s">
        <v>111</v>
      </c>
      <c r="E99" s="85" t="s">
        <v>53</v>
      </c>
      <c r="F99" s="85" t="s">
        <v>145</v>
      </c>
      <c r="G99" s="89" t="s">
        <v>441</v>
      </c>
      <c r="H99" s="14" t="s">
        <v>406</v>
      </c>
      <c r="I99" s="66" t="s">
        <v>575</v>
      </c>
      <c r="J99" s="66" t="s">
        <v>564</v>
      </c>
      <c r="K99" s="220" t="s">
        <v>576</v>
      </c>
      <c r="L99" s="7" t="s">
        <v>596</v>
      </c>
      <c r="M99" s="14" t="s">
        <v>55</v>
      </c>
      <c r="N99" s="165">
        <v>44638</v>
      </c>
      <c r="O99" s="165">
        <v>44398</v>
      </c>
      <c r="P99" s="165" t="s">
        <v>1235</v>
      </c>
      <c r="Q99" s="14" t="s">
        <v>69</v>
      </c>
      <c r="R99" s="14" t="s">
        <v>139</v>
      </c>
      <c r="S99" s="166" t="s">
        <v>423</v>
      </c>
      <c r="T99" s="50">
        <v>700</v>
      </c>
      <c r="U99" s="166">
        <v>2</v>
      </c>
      <c r="V99" s="67"/>
      <c r="W99" s="227"/>
      <c r="X99" s="22" t="s">
        <v>1482</v>
      </c>
      <c r="Y99" s="257"/>
      <c r="Z99" s="227" t="s">
        <v>2155</v>
      </c>
      <c r="AA99" s="47" t="s">
        <v>1676</v>
      </c>
      <c r="AB99" s="47" t="s">
        <v>1998</v>
      </c>
      <c r="AC99" s="47" t="s">
        <v>1999</v>
      </c>
      <c r="AD99" s="47" t="s">
        <v>1920</v>
      </c>
      <c r="AE99" s="357" t="s">
        <v>2505</v>
      </c>
      <c r="AF99" s="32" t="s">
        <v>2282</v>
      </c>
      <c r="AG99" s="22"/>
    </row>
    <row r="100" spans="1:33" s="61" customFormat="1" ht="31.2">
      <c r="A100" s="30">
        <f t="shared" si="5"/>
        <v>99</v>
      </c>
      <c r="B100" s="78" t="s">
        <v>2173</v>
      </c>
      <c r="C100" s="22" t="s">
        <v>768</v>
      </c>
      <c r="D100" s="22" t="s">
        <v>111</v>
      </c>
      <c r="E100" s="22" t="s">
        <v>53</v>
      </c>
      <c r="F100" s="22" t="s">
        <v>145</v>
      </c>
      <c r="G100" s="22" t="s">
        <v>441</v>
      </c>
      <c r="H100" s="22" t="s">
        <v>869</v>
      </c>
      <c r="I100" s="51" t="s">
        <v>565</v>
      </c>
      <c r="J100" s="51" t="s">
        <v>565</v>
      </c>
      <c r="K100" s="62" t="s">
        <v>769</v>
      </c>
      <c r="L100" s="52" t="s">
        <v>770</v>
      </c>
      <c r="M100" s="22" t="s">
        <v>116</v>
      </c>
      <c r="N100" s="27">
        <v>44855</v>
      </c>
      <c r="O100" s="53">
        <v>44656</v>
      </c>
      <c r="P100" s="53" t="s">
        <v>1233</v>
      </c>
      <c r="Q100" s="22" t="s">
        <v>69</v>
      </c>
      <c r="R100" s="14" t="s">
        <v>869</v>
      </c>
      <c r="S100" s="94" t="s">
        <v>119</v>
      </c>
      <c r="T100" s="22">
        <v>700</v>
      </c>
      <c r="U100" s="22">
        <v>2</v>
      </c>
      <c r="V100" s="52"/>
      <c r="W100" s="221"/>
      <c r="X100" s="22" t="s">
        <v>1482</v>
      </c>
      <c r="Y100" s="222"/>
      <c r="Z100" s="221" t="s">
        <v>2151</v>
      </c>
      <c r="AA100" s="47" t="s">
        <v>2028</v>
      </c>
      <c r="AB100" s="47" t="s">
        <v>2029</v>
      </c>
      <c r="AC100" s="47"/>
      <c r="AD100" s="47"/>
      <c r="AE100" s="47"/>
      <c r="AF100" s="8" t="s">
        <v>2308</v>
      </c>
      <c r="AG100" s="222" t="s">
        <v>1509</v>
      </c>
    </row>
    <row r="101" spans="1:33" s="57" customFormat="1" ht="62.4">
      <c r="A101" s="65">
        <f t="shared" si="5"/>
        <v>100</v>
      </c>
      <c r="B101" s="50" t="s">
        <v>805</v>
      </c>
      <c r="C101" s="50" t="s">
        <v>806</v>
      </c>
      <c r="D101" s="50" t="s">
        <v>111</v>
      </c>
      <c r="E101" s="50" t="s">
        <v>53</v>
      </c>
      <c r="F101" s="50" t="s">
        <v>83</v>
      </c>
      <c r="G101" s="50" t="s">
        <v>442</v>
      </c>
      <c r="H101" s="50" t="s">
        <v>807</v>
      </c>
      <c r="I101" s="66" t="s">
        <v>565</v>
      </c>
      <c r="J101" s="66" t="s">
        <v>565</v>
      </c>
      <c r="K101" s="122" t="s">
        <v>808</v>
      </c>
      <c r="L101" s="67" t="s">
        <v>809</v>
      </c>
      <c r="M101" s="50" t="s">
        <v>116</v>
      </c>
      <c r="N101" s="68">
        <v>44930</v>
      </c>
      <c r="O101" s="68" t="s">
        <v>810</v>
      </c>
      <c r="P101" s="68" t="s">
        <v>1233</v>
      </c>
      <c r="Q101" s="50" t="s">
        <v>69</v>
      </c>
      <c r="R101" s="65" t="s">
        <v>40</v>
      </c>
      <c r="S101" s="65" t="s">
        <v>1242</v>
      </c>
      <c r="T101" s="50">
        <v>700</v>
      </c>
      <c r="U101" s="50">
        <v>1</v>
      </c>
      <c r="V101" s="269"/>
      <c r="W101" s="252"/>
      <c r="X101" s="50" t="s">
        <v>1482</v>
      </c>
      <c r="Y101" s="253"/>
      <c r="Z101" s="252" t="s">
        <v>2155</v>
      </c>
      <c r="AA101" s="397" t="s">
        <v>2035</v>
      </c>
      <c r="AB101" s="397" t="s">
        <v>1646</v>
      </c>
      <c r="AC101" s="397" t="s">
        <v>1938</v>
      </c>
      <c r="AD101" s="397" t="s">
        <v>1918</v>
      </c>
      <c r="AE101" s="398" t="s">
        <v>2288</v>
      </c>
      <c r="AF101" s="116" t="s">
        <v>2310</v>
      </c>
      <c r="AG101" s="116" t="s">
        <v>2311</v>
      </c>
    </row>
    <row r="102" spans="1:33" s="71" customFormat="1" ht="31.2">
      <c r="A102" s="30">
        <f t="shared" si="5"/>
        <v>101</v>
      </c>
      <c r="B102" s="78" t="s">
        <v>895</v>
      </c>
      <c r="C102" s="33" t="s">
        <v>893</v>
      </c>
      <c r="D102" s="56" t="s">
        <v>111</v>
      </c>
      <c r="E102" s="33" t="s">
        <v>53</v>
      </c>
      <c r="F102" s="22" t="s">
        <v>222</v>
      </c>
      <c r="G102" s="22" t="s">
        <v>441</v>
      </c>
      <c r="H102" s="22" t="s">
        <v>894</v>
      </c>
      <c r="I102" s="51" t="s">
        <v>565</v>
      </c>
      <c r="J102" s="51" t="s">
        <v>565</v>
      </c>
      <c r="K102" s="62" t="s">
        <v>898</v>
      </c>
      <c r="L102" s="52" t="s">
        <v>896</v>
      </c>
      <c r="M102" s="22" t="s">
        <v>230</v>
      </c>
      <c r="N102" s="195">
        <v>45096</v>
      </c>
      <c r="O102" s="195">
        <v>44757</v>
      </c>
      <c r="P102" s="195" t="s">
        <v>1233</v>
      </c>
      <c r="Q102" s="72" t="s">
        <v>69</v>
      </c>
      <c r="R102" s="14" t="s">
        <v>88</v>
      </c>
      <c r="S102" s="188" t="s">
        <v>1241</v>
      </c>
      <c r="T102" s="191">
        <v>700</v>
      </c>
      <c r="U102" s="191">
        <v>2</v>
      </c>
      <c r="V102" s="271"/>
      <c r="W102" s="221"/>
      <c r="X102" s="22" t="s">
        <v>1482</v>
      </c>
      <c r="Y102" s="222"/>
      <c r="Z102" s="221" t="s">
        <v>2150</v>
      </c>
      <c r="AA102" s="47" t="s">
        <v>2055</v>
      </c>
      <c r="AB102" s="47" t="s">
        <v>1645</v>
      </c>
      <c r="AC102" s="47" t="s">
        <v>2056</v>
      </c>
      <c r="AD102" s="47" t="s">
        <v>1920</v>
      </c>
      <c r="AE102" s="47"/>
      <c r="AF102" s="8" t="s">
        <v>2366</v>
      </c>
      <c r="AG102" s="220"/>
    </row>
    <row r="103" spans="1:33" s="77" customFormat="1" ht="31.2">
      <c r="A103" s="30">
        <f t="shared" si="5"/>
        <v>102</v>
      </c>
      <c r="B103" s="33" t="s">
        <v>531</v>
      </c>
      <c r="C103" s="22" t="s">
        <v>532</v>
      </c>
      <c r="D103" s="33" t="s">
        <v>111</v>
      </c>
      <c r="E103" s="33" t="s">
        <v>53</v>
      </c>
      <c r="F103" s="22" t="s">
        <v>222</v>
      </c>
      <c r="G103" s="22" t="s">
        <v>441</v>
      </c>
      <c r="H103" s="22" t="s">
        <v>554</v>
      </c>
      <c r="I103" s="51" t="str">
        <f>LEFT(K103,2)</f>
        <v>경기</v>
      </c>
      <c r="J103" s="51" t="s">
        <v>565</v>
      </c>
      <c r="K103" s="62" t="s">
        <v>828</v>
      </c>
      <c r="L103" s="52" t="s">
        <v>533</v>
      </c>
      <c r="M103" s="22" t="s">
        <v>237</v>
      </c>
      <c r="N103" s="27">
        <v>44616</v>
      </c>
      <c r="O103" s="27">
        <v>44285</v>
      </c>
      <c r="P103" s="27" t="s">
        <v>1233</v>
      </c>
      <c r="Q103" s="22" t="s">
        <v>69</v>
      </c>
      <c r="R103" s="22" t="s">
        <v>869</v>
      </c>
      <c r="S103" s="12" t="s">
        <v>423</v>
      </c>
      <c r="T103" s="22">
        <v>700</v>
      </c>
      <c r="U103" s="12">
        <v>1</v>
      </c>
      <c r="V103" s="52"/>
      <c r="W103" s="221"/>
      <c r="X103" s="22" t="s">
        <v>1482</v>
      </c>
      <c r="Y103" s="222"/>
      <c r="Z103" s="221" t="s">
        <v>2150</v>
      </c>
      <c r="AA103" s="47" t="s">
        <v>1994</v>
      </c>
      <c r="AB103" s="47" t="s">
        <v>1644</v>
      </c>
      <c r="AC103" s="47"/>
      <c r="AD103" s="47"/>
      <c r="AE103" s="47"/>
      <c r="AF103" s="32" t="s">
        <v>2278</v>
      </c>
      <c r="AG103" s="21" t="s">
        <v>2279</v>
      </c>
    </row>
    <row r="104" spans="1:33" s="57" customFormat="1" ht="34.799999999999997">
      <c r="A104" s="30">
        <f t="shared" si="5"/>
        <v>103</v>
      </c>
      <c r="B104" s="78" t="s">
        <v>817</v>
      </c>
      <c r="C104" s="22" t="s">
        <v>818</v>
      </c>
      <c r="D104" s="22" t="s">
        <v>1281</v>
      </c>
      <c r="E104" s="22" t="s">
        <v>113</v>
      </c>
      <c r="F104" s="22" t="s">
        <v>145</v>
      </c>
      <c r="G104" s="22" t="s">
        <v>441</v>
      </c>
      <c r="H104" s="22" t="s">
        <v>820</v>
      </c>
      <c r="I104" s="51" t="s">
        <v>646</v>
      </c>
      <c r="J104" s="51" t="s">
        <v>569</v>
      </c>
      <c r="K104" s="62" t="s">
        <v>821</v>
      </c>
      <c r="L104" s="52" t="s">
        <v>819</v>
      </c>
      <c r="M104" s="22" t="s">
        <v>101</v>
      </c>
      <c r="N104" s="27">
        <v>44942</v>
      </c>
      <c r="O104" s="27">
        <v>44712</v>
      </c>
      <c r="P104" s="27" t="s">
        <v>1235</v>
      </c>
      <c r="Q104" s="22" t="s">
        <v>69</v>
      </c>
      <c r="R104" s="94" t="s">
        <v>695</v>
      </c>
      <c r="S104" s="94" t="s">
        <v>695</v>
      </c>
      <c r="T104" s="22">
        <v>700</v>
      </c>
      <c r="U104" s="22">
        <v>2</v>
      </c>
      <c r="V104" s="95"/>
      <c r="W104" s="221"/>
      <c r="X104" s="22" t="s">
        <v>1482</v>
      </c>
      <c r="Y104" s="222"/>
      <c r="Z104" s="221" t="s">
        <v>2150</v>
      </c>
      <c r="AA104" s="47" t="s">
        <v>2037</v>
      </c>
      <c r="AB104" s="47" t="s">
        <v>1643</v>
      </c>
      <c r="AC104" s="47" t="s">
        <v>2038</v>
      </c>
      <c r="AD104" s="47" t="s">
        <v>1920</v>
      </c>
      <c r="AE104" s="47"/>
      <c r="AF104" s="32" t="s">
        <v>2328</v>
      </c>
      <c r="AG104" s="234" t="s">
        <v>2329</v>
      </c>
    </row>
    <row r="105" spans="1:33" s="57" customFormat="1" ht="31.2">
      <c r="A105" s="74">
        <f t="shared" si="5"/>
        <v>104</v>
      </c>
      <c r="B105" s="48" t="s">
        <v>936</v>
      </c>
      <c r="C105" s="48" t="s">
        <v>937</v>
      </c>
      <c r="D105" s="124" t="s">
        <v>111</v>
      </c>
      <c r="E105" s="82" t="s">
        <v>53</v>
      </c>
      <c r="F105" s="48" t="s">
        <v>145</v>
      </c>
      <c r="G105" s="48" t="s">
        <v>441</v>
      </c>
      <c r="H105" s="48" t="s">
        <v>938</v>
      </c>
      <c r="I105" s="86" t="s">
        <v>557</v>
      </c>
      <c r="J105" s="86" t="s">
        <v>557</v>
      </c>
      <c r="K105" s="83" t="s">
        <v>943</v>
      </c>
      <c r="L105" s="80" t="s">
        <v>939</v>
      </c>
      <c r="M105" s="48" t="s">
        <v>694</v>
      </c>
      <c r="N105" s="115">
        <v>45142</v>
      </c>
      <c r="O105" s="115">
        <v>44565</v>
      </c>
      <c r="P105" s="115" t="s">
        <v>1233</v>
      </c>
      <c r="Q105" s="48" t="s">
        <v>69</v>
      </c>
      <c r="R105" s="74" t="s">
        <v>908</v>
      </c>
      <c r="S105" s="74" t="s">
        <v>908</v>
      </c>
      <c r="T105" s="48">
        <v>700</v>
      </c>
      <c r="U105" s="48">
        <v>2</v>
      </c>
      <c r="V105" s="82"/>
      <c r="W105" s="248"/>
      <c r="X105" s="48" t="s">
        <v>1482</v>
      </c>
      <c r="Y105" s="249"/>
      <c r="Z105" s="248" t="s">
        <v>2155</v>
      </c>
      <c r="AA105" s="393" t="s">
        <v>2065</v>
      </c>
      <c r="AB105" s="393" t="s">
        <v>1642</v>
      </c>
      <c r="AC105" s="393"/>
      <c r="AD105" s="393"/>
      <c r="AE105" s="393"/>
      <c r="AF105" s="233" t="s">
        <v>2379</v>
      </c>
      <c r="AG105" s="161"/>
    </row>
    <row r="106" spans="1:33" s="81" customFormat="1" ht="34.799999999999997">
      <c r="A106" s="30">
        <f t="shared" si="5"/>
        <v>105</v>
      </c>
      <c r="B106" s="78" t="s">
        <v>665</v>
      </c>
      <c r="C106" s="22" t="s">
        <v>666</v>
      </c>
      <c r="D106" s="22" t="s">
        <v>111</v>
      </c>
      <c r="E106" s="22" t="s">
        <v>53</v>
      </c>
      <c r="F106" s="22" t="s">
        <v>145</v>
      </c>
      <c r="G106" s="22" t="s">
        <v>441</v>
      </c>
      <c r="H106" s="22" t="s">
        <v>755</v>
      </c>
      <c r="I106" s="51" t="s">
        <v>667</v>
      </c>
      <c r="J106" s="51" t="s">
        <v>564</v>
      </c>
      <c r="K106" s="62" t="s">
        <v>671</v>
      </c>
      <c r="L106" s="52" t="s">
        <v>668</v>
      </c>
      <c r="M106" s="22" t="s">
        <v>110</v>
      </c>
      <c r="N106" s="195">
        <v>44741</v>
      </c>
      <c r="O106" s="196">
        <v>44529</v>
      </c>
      <c r="P106" s="196" t="s">
        <v>1233</v>
      </c>
      <c r="Q106" s="22" t="s">
        <v>69</v>
      </c>
      <c r="R106" s="14" t="s">
        <v>106</v>
      </c>
      <c r="S106" s="188" t="s">
        <v>1242</v>
      </c>
      <c r="T106" s="199">
        <v>700</v>
      </c>
      <c r="U106" s="199">
        <v>1</v>
      </c>
      <c r="V106" s="194"/>
      <c r="W106" s="221"/>
      <c r="X106" s="22" t="s">
        <v>1482</v>
      </c>
      <c r="Y106" s="222"/>
      <c r="Z106" s="221" t="s">
        <v>2150</v>
      </c>
      <c r="AA106" s="47" t="s">
        <v>1652</v>
      </c>
      <c r="AB106" s="47" t="s">
        <v>1641</v>
      </c>
      <c r="AC106" s="47" t="s">
        <v>1952</v>
      </c>
      <c r="AD106" s="47" t="s">
        <v>1920</v>
      </c>
      <c r="AE106" s="357" t="s">
        <v>2505</v>
      </c>
      <c r="AF106" s="8" t="s">
        <v>2272</v>
      </c>
      <c r="AG106" s="222"/>
    </row>
    <row r="107" spans="1:33" s="77" customFormat="1" ht="31.2">
      <c r="A107" s="30">
        <f t="shared" si="5"/>
        <v>106</v>
      </c>
      <c r="B107" s="78" t="s">
        <v>761</v>
      </c>
      <c r="C107" s="22" t="s">
        <v>762</v>
      </c>
      <c r="D107" s="22" t="s">
        <v>111</v>
      </c>
      <c r="E107" s="22" t="s">
        <v>53</v>
      </c>
      <c r="F107" s="22" t="s">
        <v>83</v>
      </c>
      <c r="G107" s="22" t="s">
        <v>442</v>
      </c>
      <c r="H107" s="22" t="s">
        <v>555</v>
      </c>
      <c r="I107" s="51" t="s">
        <v>766</v>
      </c>
      <c r="J107" s="51" t="s">
        <v>564</v>
      </c>
      <c r="K107" s="62" t="s">
        <v>763</v>
      </c>
      <c r="L107" s="52" t="s">
        <v>767</v>
      </c>
      <c r="M107" s="22" t="s">
        <v>485</v>
      </c>
      <c r="N107" s="27">
        <v>44855</v>
      </c>
      <c r="O107" s="53">
        <v>44285</v>
      </c>
      <c r="P107" s="53" t="s">
        <v>1233</v>
      </c>
      <c r="Q107" s="22" t="s">
        <v>69</v>
      </c>
      <c r="R107" s="94" t="s">
        <v>139</v>
      </c>
      <c r="S107" s="94" t="s">
        <v>1241</v>
      </c>
      <c r="T107" s="22">
        <v>700</v>
      </c>
      <c r="U107" s="22">
        <v>1</v>
      </c>
      <c r="V107" s="52"/>
      <c r="W107" s="221"/>
      <c r="X107" s="22" t="s">
        <v>1482</v>
      </c>
      <c r="Y107" s="222"/>
      <c r="Z107" s="221" t="s">
        <v>2155</v>
      </c>
      <c r="AA107" s="47" t="s">
        <v>1640</v>
      </c>
      <c r="AB107" s="47" t="s">
        <v>1639</v>
      </c>
      <c r="AC107" s="47"/>
      <c r="AD107" s="47"/>
      <c r="AE107" s="47"/>
      <c r="AF107" s="8" t="s">
        <v>2307</v>
      </c>
      <c r="AG107" s="222"/>
    </row>
    <row r="108" spans="1:33" s="70" customFormat="1" ht="31.2">
      <c r="A108" s="30">
        <f t="shared" si="5"/>
        <v>107</v>
      </c>
      <c r="B108" s="78" t="s">
        <v>918</v>
      </c>
      <c r="C108" s="22" t="s">
        <v>919</v>
      </c>
      <c r="D108" s="56" t="s">
        <v>111</v>
      </c>
      <c r="E108" s="33" t="s">
        <v>53</v>
      </c>
      <c r="F108" s="22" t="s">
        <v>145</v>
      </c>
      <c r="G108" s="22" t="s">
        <v>441</v>
      </c>
      <c r="H108" s="22" t="s">
        <v>435</v>
      </c>
      <c r="I108" s="51" t="s">
        <v>766</v>
      </c>
      <c r="J108" s="51" t="s">
        <v>564</v>
      </c>
      <c r="K108" s="62" t="s">
        <v>922</v>
      </c>
      <c r="L108" s="52" t="s">
        <v>921</v>
      </c>
      <c r="M108" s="22" t="s">
        <v>57</v>
      </c>
      <c r="N108" s="27">
        <v>45112</v>
      </c>
      <c r="O108" s="27">
        <v>44820</v>
      </c>
      <c r="P108" s="27" t="s">
        <v>1235</v>
      </c>
      <c r="Q108" s="72" t="s">
        <v>69</v>
      </c>
      <c r="R108" s="14" t="s">
        <v>869</v>
      </c>
      <c r="S108" s="94" t="s">
        <v>1238</v>
      </c>
      <c r="T108" s="22">
        <v>700</v>
      </c>
      <c r="U108" s="22">
        <v>2</v>
      </c>
      <c r="V108" s="73"/>
      <c r="W108" s="221"/>
      <c r="X108" s="22" t="s">
        <v>1482</v>
      </c>
      <c r="Y108" s="222"/>
      <c r="Z108" s="221" t="s">
        <v>2150</v>
      </c>
      <c r="AA108" s="47" t="s">
        <v>1638</v>
      </c>
      <c r="AB108" s="47" t="s">
        <v>1637</v>
      </c>
      <c r="AC108" s="47" t="s">
        <v>1919</v>
      </c>
      <c r="AD108" s="47" t="s">
        <v>1920</v>
      </c>
      <c r="AE108" s="47"/>
      <c r="AF108" s="8" t="s">
        <v>2371</v>
      </c>
      <c r="AG108" s="220"/>
    </row>
    <row r="109" spans="1:33" s="57" customFormat="1" ht="34.799999999999997">
      <c r="A109" s="30">
        <f t="shared" si="5"/>
        <v>108</v>
      </c>
      <c r="B109" s="7" t="s">
        <v>1860</v>
      </c>
      <c r="C109" s="16" t="s">
        <v>1861</v>
      </c>
      <c r="D109" s="16" t="s">
        <v>111</v>
      </c>
      <c r="E109" s="33" t="s">
        <v>53</v>
      </c>
      <c r="F109" s="22" t="s">
        <v>145</v>
      </c>
      <c r="G109" s="22" t="s">
        <v>441</v>
      </c>
      <c r="H109" s="78" t="s">
        <v>409</v>
      </c>
      <c r="I109" s="7" t="s">
        <v>575</v>
      </c>
      <c r="J109" s="7" t="s">
        <v>564</v>
      </c>
      <c r="K109" s="88" t="s">
        <v>1862</v>
      </c>
      <c r="L109" s="7" t="s">
        <v>1863</v>
      </c>
      <c r="M109" s="7" t="s">
        <v>251</v>
      </c>
      <c r="N109" s="34">
        <v>46171</v>
      </c>
      <c r="O109" s="34">
        <v>46020</v>
      </c>
      <c r="P109" s="16" t="s">
        <v>1264</v>
      </c>
      <c r="Q109" s="72" t="s">
        <v>69</v>
      </c>
      <c r="R109" s="290" t="s">
        <v>139</v>
      </c>
      <c r="S109" s="290" t="s">
        <v>478</v>
      </c>
      <c r="T109" s="22">
        <v>700</v>
      </c>
      <c r="U109" s="22">
        <v>3</v>
      </c>
      <c r="V109" s="283" t="s">
        <v>1372</v>
      </c>
      <c r="W109" s="88"/>
      <c r="X109" s="7" t="s">
        <v>1864</v>
      </c>
      <c r="Y109" s="88"/>
      <c r="Z109" s="7" t="s">
        <v>2155</v>
      </c>
      <c r="AA109" s="47" t="s">
        <v>2140</v>
      </c>
      <c r="AB109" s="47" t="s">
        <v>2487</v>
      </c>
      <c r="AC109" s="47" t="s">
        <v>2141</v>
      </c>
      <c r="AD109" s="47" t="s">
        <v>1920</v>
      </c>
      <c r="AE109" s="357" t="s">
        <v>2415</v>
      </c>
      <c r="AF109" s="88" t="s">
        <v>2414</v>
      </c>
      <c r="AG109" s="88"/>
    </row>
    <row r="110" spans="1:33" s="77" customFormat="1" ht="34.799999999999997">
      <c r="A110" s="30">
        <f t="shared" si="5"/>
        <v>109</v>
      </c>
      <c r="B110" s="78" t="s">
        <v>931</v>
      </c>
      <c r="C110" s="22" t="s">
        <v>932</v>
      </c>
      <c r="D110" s="56" t="s">
        <v>111</v>
      </c>
      <c r="E110" s="33" t="s">
        <v>53</v>
      </c>
      <c r="F110" s="22" t="s">
        <v>145</v>
      </c>
      <c r="G110" s="22" t="s">
        <v>441</v>
      </c>
      <c r="H110" s="78" t="s">
        <v>406</v>
      </c>
      <c r="I110" s="51" t="s">
        <v>575</v>
      </c>
      <c r="J110" s="51" t="s">
        <v>564</v>
      </c>
      <c r="K110" s="62" t="s">
        <v>942</v>
      </c>
      <c r="L110" s="52" t="s">
        <v>933</v>
      </c>
      <c r="M110" s="22" t="s">
        <v>55</v>
      </c>
      <c r="N110" s="27">
        <v>45139</v>
      </c>
      <c r="O110" s="27" t="s">
        <v>934</v>
      </c>
      <c r="P110" s="27" t="s">
        <v>1233</v>
      </c>
      <c r="Q110" s="72" t="s">
        <v>69</v>
      </c>
      <c r="R110" s="94" t="s">
        <v>139</v>
      </c>
      <c r="S110" s="94" t="s">
        <v>1241</v>
      </c>
      <c r="T110" s="22">
        <v>700</v>
      </c>
      <c r="U110" s="22">
        <v>2</v>
      </c>
      <c r="V110" s="73"/>
      <c r="W110" s="221"/>
      <c r="X110" s="22" t="s">
        <v>1482</v>
      </c>
      <c r="Y110" s="222"/>
      <c r="Z110" s="221" t="s">
        <v>2155</v>
      </c>
      <c r="AA110" s="47" t="s">
        <v>1635</v>
      </c>
      <c r="AB110" s="47" t="s">
        <v>1634</v>
      </c>
      <c r="AC110" s="47" t="s">
        <v>1923</v>
      </c>
      <c r="AD110" s="47" t="s">
        <v>1920</v>
      </c>
      <c r="AE110" s="357" t="s">
        <v>2286</v>
      </c>
      <c r="AF110" s="32" t="s">
        <v>2377</v>
      </c>
      <c r="AG110" s="284" t="s">
        <v>2378</v>
      </c>
    </row>
    <row r="111" spans="1:33" s="57" customFormat="1" ht="34.799999999999997">
      <c r="A111" s="65">
        <f t="shared" si="5"/>
        <v>110</v>
      </c>
      <c r="B111" s="50" t="s">
        <v>963</v>
      </c>
      <c r="C111" s="50" t="s">
        <v>964</v>
      </c>
      <c r="D111" s="272" t="s">
        <v>111</v>
      </c>
      <c r="E111" s="91" t="s">
        <v>53</v>
      </c>
      <c r="F111" s="50" t="s">
        <v>145</v>
      </c>
      <c r="G111" s="50" t="s">
        <v>441</v>
      </c>
      <c r="H111" s="50" t="s">
        <v>286</v>
      </c>
      <c r="I111" s="66" t="s">
        <v>575</v>
      </c>
      <c r="J111" s="66" t="s">
        <v>564</v>
      </c>
      <c r="K111" s="122" t="s">
        <v>965</v>
      </c>
      <c r="L111" s="67" t="s">
        <v>966</v>
      </c>
      <c r="M111" s="50" t="s">
        <v>55</v>
      </c>
      <c r="N111" s="68">
        <v>45126</v>
      </c>
      <c r="O111" s="68" t="s">
        <v>967</v>
      </c>
      <c r="P111" s="68" t="s">
        <v>1233</v>
      </c>
      <c r="Q111" s="60" t="s">
        <v>114</v>
      </c>
      <c r="R111" s="65" t="s">
        <v>88</v>
      </c>
      <c r="S111" s="65" t="s">
        <v>478</v>
      </c>
      <c r="T111" s="50">
        <v>700</v>
      </c>
      <c r="U111" s="50">
        <v>3</v>
      </c>
      <c r="V111" s="318" t="s">
        <v>1375</v>
      </c>
      <c r="W111" s="252"/>
      <c r="X111" s="50" t="s">
        <v>1482</v>
      </c>
      <c r="Y111" s="253"/>
      <c r="Z111" s="252" t="s">
        <v>2150</v>
      </c>
      <c r="AA111" s="397" t="s">
        <v>1633</v>
      </c>
      <c r="AB111" s="397" t="s">
        <v>1632</v>
      </c>
      <c r="AC111" s="397" t="s">
        <v>2056</v>
      </c>
      <c r="AD111" s="397" t="s">
        <v>1920</v>
      </c>
      <c r="AE111" s="398" t="s">
        <v>2286</v>
      </c>
      <c r="AF111" s="240" t="s">
        <v>2374</v>
      </c>
      <c r="AG111" s="255" t="s">
        <v>2375</v>
      </c>
    </row>
    <row r="112" spans="1:33" s="57" customFormat="1" ht="31.2">
      <c r="A112" s="30">
        <f t="shared" si="5"/>
        <v>111</v>
      </c>
      <c r="B112" s="78" t="s">
        <v>813</v>
      </c>
      <c r="C112" s="22" t="s">
        <v>814</v>
      </c>
      <c r="D112" s="22" t="s">
        <v>111</v>
      </c>
      <c r="E112" s="22" t="s">
        <v>53</v>
      </c>
      <c r="F112" s="22" t="s">
        <v>83</v>
      </c>
      <c r="G112" s="22" t="s">
        <v>442</v>
      </c>
      <c r="H112" s="22" t="s">
        <v>824</v>
      </c>
      <c r="I112" s="51" t="s">
        <v>611</v>
      </c>
      <c r="J112" s="51" t="s">
        <v>568</v>
      </c>
      <c r="K112" s="62" t="s">
        <v>815</v>
      </c>
      <c r="L112" s="52" t="s">
        <v>816</v>
      </c>
      <c r="M112" s="22" t="s">
        <v>132</v>
      </c>
      <c r="N112" s="27">
        <v>44939</v>
      </c>
      <c r="O112" s="27">
        <v>44508</v>
      </c>
      <c r="P112" s="27" t="s">
        <v>1233</v>
      </c>
      <c r="Q112" s="22" t="s">
        <v>69</v>
      </c>
      <c r="R112" s="94" t="s">
        <v>139</v>
      </c>
      <c r="S112" s="94" t="s">
        <v>1241</v>
      </c>
      <c r="T112" s="22">
        <v>700</v>
      </c>
      <c r="U112" s="22">
        <v>1</v>
      </c>
      <c r="V112" s="95"/>
      <c r="W112" s="221"/>
      <c r="X112" s="22" t="s">
        <v>1482</v>
      </c>
      <c r="Y112" s="222"/>
      <c r="Z112" s="221" t="s">
        <v>2155</v>
      </c>
      <c r="AA112" s="47" t="s">
        <v>2036</v>
      </c>
      <c r="AB112" s="47" t="s">
        <v>1631</v>
      </c>
      <c r="AC112" s="47"/>
      <c r="AD112" s="47"/>
      <c r="AE112" s="47"/>
      <c r="AF112" s="8" t="s">
        <v>2327</v>
      </c>
      <c r="AG112" s="222"/>
    </row>
    <row r="113" spans="1:33" s="57" customFormat="1" ht="34.799999999999997">
      <c r="A113" s="94">
        <f t="shared" si="5"/>
        <v>112</v>
      </c>
      <c r="B113" s="7" t="s">
        <v>1148</v>
      </c>
      <c r="C113" s="89" t="s">
        <v>340</v>
      </c>
      <c r="D113" s="85" t="s">
        <v>143</v>
      </c>
      <c r="E113" s="50" t="s">
        <v>53</v>
      </c>
      <c r="F113" s="50" t="s">
        <v>145</v>
      </c>
      <c r="G113" s="50" t="s">
        <v>441</v>
      </c>
      <c r="H113" s="22" t="s">
        <v>407</v>
      </c>
      <c r="I113" s="66" t="str">
        <f>LEFT(K113,2)</f>
        <v>전북</v>
      </c>
      <c r="J113" s="66" t="s">
        <v>568</v>
      </c>
      <c r="K113" s="21" t="s">
        <v>85</v>
      </c>
      <c r="L113" s="26" t="s">
        <v>196</v>
      </c>
      <c r="M113" s="22" t="s">
        <v>86</v>
      </c>
      <c r="N113" s="68">
        <v>43916</v>
      </c>
      <c r="O113" s="165" t="s">
        <v>155</v>
      </c>
      <c r="P113" s="89" t="s">
        <v>1233</v>
      </c>
      <c r="Q113" s="12" t="s">
        <v>69</v>
      </c>
      <c r="R113" s="12" t="s">
        <v>88</v>
      </c>
      <c r="S113" s="65" t="s">
        <v>378</v>
      </c>
      <c r="T113" s="50">
        <v>700</v>
      </c>
      <c r="U113" s="236">
        <v>4</v>
      </c>
      <c r="V113" s="65" t="s">
        <v>1346</v>
      </c>
      <c r="W113" s="7"/>
      <c r="X113" s="7" t="s">
        <v>1482</v>
      </c>
      <c r="Y113" s="88"/>
      <c r="Z113" s="7" t="s">
        <v>2155</v>
      </c>
      <c r="AA113" s="47" t="s">
        <v>1756</v>
      </c>
      <c r="AB113" s="47" t="s">
        <v>1630</v>
      </c>
      <c r="AC113" s="357" t="s">
        <v>2221</v>
      </c>
      <c r="AD113" s="357" t="s">
        <v>2222</v>
      </c>
      <c r="AE113" s="47"/>
      <c r="AF113" s="32" t="s">
        <v>2220</v>
      </c>
      <c r="AG113" s="88" t="s">
        <v>2428</v>
      </c>
    </row>
    <row r="114" spans="1:33" s="77" customFormat="1" ht="17.399999999999999">
      <c r="A114" s="30">
        <f t="shared" si="5"/>
        <v>113</v>
      </c>
      <c r="B114" s="78" t="s">
        <v>909</v>
      </c>
      <c r="C114" s="22" t="s">
        <v>910</v>
      </c>
      <c r="D114" s="56" t="s">
        <v>111</v>
      </c>
      <c r="E114" s="33" t="s">
        <v>53</v>
      </c>
      <c r="F114" s="22" t="s">
        <v>145</v>
      </c>
      <c r="G114" s="22" t="s">
        <v>441</v>
      </c>
      <c r="H114" s="22" t="s">
        <v>408</v>
      </c>
      <c r="I114" s="51" t="s">
        <v>572</v>
      </c>
      <c r="J114" s="51" t="s">
        <v>568</v>
      </c>
      <c r="K114" s="62" t="s">
        <v>911</v>
      </c>
      <c r="L114" s="52" t="s">
        <v>912</v>
      </c>
      <c r="M114" s="22" t="s">
        <v>86</v>
      </c>
      <c r="N114" s="27">
        <v>45107</v>
      </c>
      <c r="O114" s="27">
        <v>44889</v>
      </c>
      <c r="P114" s="27" t="s">
        <v>1233</v>
      </c>
      <c r="Q114" s="72" t="s">
        <v>69</v>
      </c>
      <c r="R114" s="14" t="s">
        <v>903</v>
      </c>
      <c r="S114" s="94" t="s">
        <v>871</v>
      </c>
      <c r="T114" s="22">
        <v>700</v>
      </c>
      <c r="U114" s="22">
        <v>1</v>
      </c>
      <c r="V114" s="73"/>
      <c r="W114" s="221"/>
      <c r="X114" s="22" t="s">
        <v>1482</v>
      </c>
      <c r="Y114" s="222"/>
      <c r="Z114" s="221" t="s">
        <v>2155</v>
      </c>
      <c r="AA114" s="47" t="s">
        <v>2060</v>
      </c>
      <c r="AB114" s="47" t="s">
        <v>1629</v>
      </c>
      <c r="AC114" s="47"/>
      <c r="AD114" s="47"/>
      <c r="AE114" s="47"/>
      <c r="AF114" s="8" t="s">
        <v>2370</v>
      </c>
      <c r="AG114" s="222"/>
    </row>
    <row r="115" spans="1:33" s="77" customFormat="1" ht="34.799999999999997">
      <c r="A115" s="30">
        <f t="shared" si="5"/>
        <v>114</v>
      </c>
      <c r="B115" s="22" t="s">
        <v>486</v>
      </c>
      <c r="C115" s="22" t="s">
        <v>487</v>
      </c>
      <c r="D115" s="22" t="s">
        <v>111</v>
      </c>
      <c r="E115" s="22" t="s">
        <v>53</v>
      </c>
      <c r="F115" s="22" t="s">
        <v>136</v>
      </c>
      <c r="G115" s="22" t="s">
        <v>441</v>
      </c>
      <c r="H115" s="22" t="s">
        <v>552</v>
      </c>
      <c r="I115" s="51" t="str">
        <f>LEFT(K115,2)</f>
        <v>전북</v>
      </c>
      <c r="J115" s="51" t="s">
        <v>568</v>
      </c>
      <c r="K115" s="42" t="s">
        <v>488</v>
      </c>
      <c r="L115" s="52" t="s">
        <v>489</v>
      </c>
      <c r="M115" s="22" t="s">
        <v>86</v>
      </c>
      <c r="N115" s="27">
        <v>44550</v>
      </c>
      <c r="O115" s="53">
        <v>44098</v>
      </c>
      <c r="P115" s="53" t="s">
        <v>1233</v>
      </c>
      <c r="Q115" s="22" t="s">
        <v>69</v>
      </c>
      <c r="R115" s="22" t="s">
        <v>106</v>
      </c>
      <c r="S115" s="12" t="s">
        <v>1242</v>
      </c>
      <c r="T115" s="22">
        <v>700</v>
      </c>
      <c r="U115" s="12">
        <v>1</v>
      </c>
      <c r="V115" s="16"/>
      <c r="W115" s="221"/>
      <c r="X115" s="22" t="s">
        <v>1482</v>
      </c>
      <c r="Y115" s="222"/>
      <c r="Z115" s="221" t="s">
        <v>2155</v>
      </c>
      <c r="AA115" s="47" t="s">
        <v>1981</v>
      </c>
      <c r="AB115" s="47" t="s">
        <v>1628</v>
      </c>
      <c r="AC115" s="47" t="s">
        <v>1952</v>
      </c>
      <c r="AD115" s="47" t="s">
        <v>1920</v>
      </c>
      <c r="AE115" s="47"/>
      <c r="AF115" s="32" t="s">
        <v>2459</v>
      </c>
      <c r="AG115" s="234" t="s">
        <v>2460</v>
      </c>
    </row>
    <row r="116" spans="1:33" s="77" customFormat="1" ht="34.799999999999997">
      <c r="A116" s="30">
        <f t="shared" si="5"/>
        <v>115</v>
      </c>
      <c r="B116" s="78" t="s">
        <v>883</v>
      </c>
      <c r="C116" s="22" t="s">
        <v>884</v>
      </c>
      <c r="D116" s="22" t="s">
        <v>111</v>
      </c>
      <c r="E116" s="22" t="s">
        <v>53</v>
      </c>
      <c r="F116" s="22" t="s">
        <v>145</v>
      </c>
      <c r="G116" s="22" t="s">
        <v>441</v>
      </c>
      <c r="H116" s="22" t="s">
        <v>408</v>
      </c>
      <c r="I116" s="51" t="s">
        <v>646</v>
      </c>
      <c r="J116" s="51" t="s">
        <v>569</v>
      </c>
      <c r="K116" s="62" t="s">
        <v>886</v>
      </c>
      <c r="L116" s="52" t="s">
        <v>885</v>
      </c>
      <c r="M116" s="22" t="s">
        <v>125</v>
      </c>
      <c r="N116" s="27">
        <v>45037</v>
      </c>
      <c r="O116" s="27">
        <v>44769</v>
      </c>
      <c r="P116" s="27" t="s">
        <v>1235</v>
      </c>
      <c r="Q116" s="72" t="s">
        <v>69</v>
      </c>
      <c r="R116" s="94" t="s">
        <v>871</v>
      </c>
      <c r="S116" s="94" t="s">
        <v>871</v>
      </c>
      <c r="T116" s="22">
        <v>700</v>
      </c>
      <c r="U116" s="22">
        <v>3</v>
      </c>
      <c r="V116" s="28"/>
      <c r="W116" s="221"/>
      <c r="X116" s="22" t="s">
        <v>1482</v>
      </c>
      <c r="Y116" s="222"/>
      <c r="Z116" s="221" t="s">
        <v>2150</v>
      </c>
      <c r="AA116" s="47" t="s">
        <v>2052</v>
      </c>
      <c r="AB116" s="47" t="s">
        <v>1627</v>
      </c>
      <c r="AC116" s="47" t="s">
        <v>1923</v>
      </c>
      <c r="AD116" s="47" t="s">
        <v>1920</v>
      </c>
      <c r="AE116" s="357" t="s">
        <v>2415</v>
      </c>
      <c r="AF116" s="32" t="s">
        <v>2357</v>
      </c>
      <c r="AG116" s="220" t="s">
        <v>2309</v>
      </c>
    </row>
    <row r="117" spans="1:33" s="57" customFormat="1" ht="31.2">
      <c r="A117" s="30">
        <f t="shared" si="5"/>
        <v>116</v>
      </c>
      <c r="B117" s="78" t="s">
        <v>949</v>
      </c>
      <c r="C117" s="22" t="s">
        <v>950</v>
      </c>
      <c r="D117" s="56" t="s">
        <v>111</v>
      </c>
      <c r="E117" s="33" t="s">
        <v>53</v>
      </c>
      <c r="F117" s="22" t="s">
        <v>222</v>
      </c>
      <c r="G117" s="22" t="s">
        <v>441</v>
      </c>
      <c r="H117" s="78" t="s">
        <v>952</v>
      </c>
      <c r="I117" s="51" t="s">
        <v>677</v>
      </c>
      <c r="J117" s="51" t="s">
        <v>569</v>
      </c>
      <c r="K117" s="62" t="s">
        <v>951</v>
      </c>
      <c r="L117" s="52" t="s">
        <v>948</v>
      </c>
      <c r="M117" s="22" t="s">
        <v>80</v>
      </c>
      <c r="N117" s="27">
        <v>45156</v>
      </c>
      <c r="O117" s="27">
        <v>44767</v>
      </c>
      <c r="P117" s="27" t="s">
        <v>1233</v>
      </c>
      <c r="Q117" s="72" t="s">
        <v>69</v>
      </c>
      <c r="R117" s="14" t="s">
        <v>869</v>
      </c>
      <c r="S117" s="94" t="s">
        <v>1238</v>
      </c>
      <c r="T117" s="22">
        <v>700</v>
      </c>
      <c r="U117" s="22">
        <v>1</v>
      </c>
      <c r="V117" s="73"/>
      <c r="W117" s="221"/>
      <c r="X117" s="22" t="s">
        <v>1482</v>
      </c>
      <c r="Y117" s="222"/>
      <c r="Z117" s="221" t="s">
        <v>2155</v>
      </c>
      <c r="AA117" s="47" t="s">
        <v>2067</v>
      </c>
      <c r="AB117" s="47" t="s">
        <v>1626</v>
      </c>
      <c r="AC117" s="47" t="s">
        <v>1923</v>
      </c>
      <c r="AD117" s="47" t="s">
        <v>1920</v>
      </c>
      <c r="AE117" s="47"/>
      <c r="AF117" s="32" t="s">
        <v>2381</v>
      </c>
      <c r="AG117" s="220" t="s">
        <v>2382</v>
      </c>
    </row>
    <row r="118" spans="1:33" s="77" customFormat="1" ht="34.799999999999997">
      <c r="A118" s="74">
        <f t="shared" si="5"/>
        <v>117</v>
      </c>
      <c r="B118" s="123" t="s">
        <v>1157</v>
      </c>
      <c r="C118" s="123" t="s">
        <v>1156</v>
      </c>
      <c r="D118" s="124" t="s">
        <v>111</v>
      </c>
      <c r="E118" s="82" t="s">
        <v>53</v>
      </c>
      <c r="F118" s="48" t="s">
        <v>145</v>
      </c>
      <c r="G118" s="48" t="s">
        <v>441</v>
      </c>
      <c r="H118" s="48" t="s">
        <v>1158</v>
      </c>
      <c r="I118" s="123" t="s">
        <v>565</v>
      </c>
      <c r="J118" s="123" t="s">
        <v>565</v>
      </c>
      <c r="K118" s="125" t="s">
        <v>1159</v>
      </c>
      <c r="L118" s="123" t="s">
        <v>1160</v>
      </c>
      <c r="M118" s="123" t="s">
        <v>237</v>
      </c>
      <c r="N118" s="126">
        <v>45546</v>
      </c>
      <c r="O118" s="120" t="s">
        <v>1161</v>
      </c>
      <c r="P118" s="118" t="s">
        <v>1233</v>
      </c>
      <c r="Q118" s="48" t="s">
        <v>69</v>
      </c>
      <c r="R118" s="74" t="s">
        <v>1099</v>
      </c>
      <c r="S118" s="74" t="s">
        <v>1099</v>
      </c>
      <c r="T118" s="48">
        <v>700</v>
      </c>
      <c r="U118" s="48">
        <v>1</v>
      </c>
      <c r="V118" s="82"/>
      <c r="W118" s="123" t="s">
        <v>1491</v>
      </c>
      <c r="X118" s="48" t="s">
        <v>1482</v>
      </c>
      <c r="Y118" s="125"/>
      <c r="Z118" s="123" t="s">
        <v>2155</v>
      </c>
      <c r="AA118" s="393" t="s">
        <v>2105</v>
      </c>
      <c r="AB118" s="393" t="s">
        <v>1625</v>
      </c>
      <c r="AC118" s="393" t="s">
        <v>2106</v>
      </c>
      <c r="AD118" s="393" t="s">
        <v>1920</v>
      </c>
      <c r="AE118" s="394" t="s">
        <v>2398</v>
      </c>
      <c r="AF118" s="156" t="s">
        <v>2483</v>
      </c>
      <c r="AG118" s="360" t="s">
        <v>2358</v>
      </c>
    </row>
    <row r="119" spans="1:33" s="129" customFormat="1" ht="31.2">
      <c r="A119" s="74">
        <f t="shared" si="5"/>
        <v>118</v>
      </c>
      <c r="B119" s="48" t="s">
        <v>864</v>
      </c>
      <c r="C119" s="48" t="s">
        <v>373</v>
      </c>
      <c r="D119" s="48" t="s">
        <v>111</v>
      </c>
      <c r="E119" s="48" t="s">
        <v>53</v>
      </c>
      <c r="F119" s="48" t="s">
        <v>145</v>
      </c>
      <c r="G119" s="48" t="s">
        <v>441</v>
      </c>
      <c r="H119" s="48" t="s">
        <v>867</v>
      </c>
      <c r="I119" s="86" t="s">
        <v>571</v>
      </c>
      <c r="J119" s="86" t="s">
        <v>571</v>
      </c>
      <c r="K119" s="83" t="s">
        <v>865</v>
      </c>
      <c r="L119" s="80" t="s">
        <v>866</v>
      </c>
      <c r="M119" s="48" t="s">
        <v>242</v>
      </c>
      <c r="N119" s="115">
        <v>45031</v>
      </c>
      <c r="O119" s="115">
        <v>44684</v>
      </c>
      <c r="P119" s="115" t="s">
        <v>1235</v>
      </c>
      <c r="Q119" s="48" t="s">
        <v>69</v>
      </c>
      <c r="R119" s="48" t="s">
        <v>868</v>
      </c>
      <c r="S119" s="123" t="s">
        <v>460</v>
      </c>
      <c r="T119" s="48">
        <v>700</v>
      </c>
      <c r="U119" s="232">
        <v>3</v>
      </c>
      <c r="V119" s="48"/>
      <c r="W119" s="248"/>
      <c r="X119" s="48" t="s">
        <v>1482</v>
      </c>
      <c r="Y119" s="125"/>
      <c r="Z119" s="123" t="s">
        <v>2150</v>
      </c>
      <c r="AA119" s="393" t="s">
        <v>2049</v>
      </c>
      <c r="AB119" s="393" t="s">
        <v>1624</v>
      </c>
      <c r="AC119" s="393"/>
      <c r="AD119" s="393"/>
      <c r="AE119" s="393"/>
      <c r="AF119" s="233" t="s">
        <v>2477</v>
      </c>
      <c r="AG119" s="156" t="s">
        <v>2476</v>
      </c>
    </row>
    <row r="120" spans="1:33" s="77" customFormat="1" ht="31.2">
      <c r="A120" s="30">
        <f t="shared" si="5"/>
        <v>119</v>
      </c>
      <c r="B120" s="7" t="s">
        <v>1054</v>
      </c>
      <c r="C120" s="7" t="s">
        <v>385</v>
      </c>
      <c r="D120" s="56" t="s">
        <v>424</v>
      </c>
      <c r="E120" s="33" t="s">
        <v>712</v>
      </c>
      <c r="F120" s="22" t="s">
        <v>222</v>
      </c>
      <c r="G120" s="22" t="s">
        <v>441</v>
      </c>
      <c r="H120" s="78" t="s">
        <v>1055</v>
      </c>
      <c r="I120" s="7" t="s">
        <v>571</v>
      </c>
      <c r="J120" s="7" t="s">
        <v>571</v>
      </c>
      <c r="K120" s="88" t="s">
        <v>1069</v>
      </c>
      <c r="L120" s="7" t="s">
        <v>1056</v>
      </c>
      <c r="M120" s="7" t="s">
        <v>242</v>
      </c>
      <c r="N120" s="34">
        <v>45345</v>
      </c>
      <c r="O120" s="24" t="s">
        <v>1057</v>
      </c>
      <c r="P120" s="16" t="s">
        <v>1233</v>
      </c>
      <c r="Q120" s="72" t="s">
        <v>69</v>
      </c>
      <c r="R120" s="94" t="s">
        <v>1058</v>
      </c>
      <c r="S120" s="94" t="s">
        <v>695</v>
      </c>
      <c r="T120" s="22">
        <v>700</v>
      </c>
      <c r="U120" s="22">
        <v>2</v>
      </c>
      <c r="V120" s="73" t="s">
        <v>1379</v>
      </c>
      <c r="W120" s="7"/>
      <c r="X120" s="22" t="s">
        <v>1482</v>
      </c>
      <c r="Y120" s="8"/>
      <c r="Z120" s="7" t="s">
        <v>2150</v>
      </c>
      <c r="AA120" s="47" t="s">
        <v>2087</v>
      </c>
      <c r="AB120" s="47" t="s">
        <v>1623</v>
      </c>
      <c r="AC120" s="47"/>
      <c r="AD120" s="47"/>
      <c r="AE120" s="47"/>
      <c r="AF120" s="8" t="s">
        <v>2327</v>
      </c>
      <c r="AG120" s="220"/>
    </row>
    <row r="121" spans="1:33" s="57" customFormat="1" ht="52.2">
      <c r="A121" s="74">
        <f t="shared" si="5"/>
        <v>120</v>
      </c>
      <c r="B121" s="123" t="s">
        <v>1018</v>
      </c>
      <c r="C121" s="123" t="s">
        <v>1019</v>
      </c>
      <c r="D121" s="121" t="s">
        <v>111</v>
      </c>
      <c r="E121" s="121" t="s">
        <v>53</v>
      </c>
      <c r="F121" s="121" t="s">
        <v>83</v>
      </c>
      <c r="G121" s="121" t="s">
        <v>442</v>
      </c>
      <c r="H121" s="121" t="s">
        <v>548</v>
      </c>
      <c r="I121" s="86" t="s">
        <v>856</v>
      </c>
      <c r="J121" s="86" t="s">
        <v>564</v>
      </c>
      <c r="K121" s="161" t="s">
        <v>1020</v>
      </c>
      <c r="L121" s="123" t="s">
        <v>1021</v>
      </c>
      <c r="M121" s="121" t="s">
        <v>51</v>
      </c>
      <c r="N121" s="126">
        <v>45301</v>
      </c>
      <c r="O121" s="126">
        <v>45058</v>
      </c>
      <c r="P121" s="126" t="s">
        <v>1233</v>
      </c>
      <c r="Q121" s="121" t="s">
        <v>69</v>
      </c>
      <c r="R121" s="121" t="s">
        <v>868</v>
      </c>
      <c r="S121" s="74" t="str">
        <f>S119:T119</f>
        <v>샘찬</v>
      </c>
      <c r="T121" s="48">
        <v>700</v>
      </c>
      <c r="U121" s="48">
        <v>1</v>
      </c>
      <c r="V121" s="82"/>
      <c r="W121" s="248"/>
      <c r="X121" s="48" t="s">
        <v>1482</v>
      </c>
      <c r="Y121" s="249"/>
      <c r="Z121" s="248" t="s">
        <v>2150</v>
      </c>
      <c r="AA121" s="393" t="s">
        <v>2083</v>
      </c>
      <c r="AB121" s="393" t="s">
        <v>1622</v>
      </c>
      <c r="AC121" s="393"/>
      <c r="AD121" s="393"/>
      <c r="AE121" s="393"/>
      <c r="AF121" s="233"/>
      <c r="AG121" s="358" t="s">
        <v>2340</v>
      </c>
    </row>
    <row r="122" spans="1:33" s="57" customFormat="1" ht="31.2">
      <c r="A122" s="296">
        <f t="shared" si="5"/>
        <v>121</v>
      </c>
      <c r="B122" s="72" t="s">
        <v>232</v>
      </c>
      <c r="C122" s="50" t="s">
        <v>361</v>
      </c>
      <c r="D122" s="50" t="s">
        <v>111</v>
      </c>
      <c r="E122" s="50" t="s">
        <v>53</v>
      </c>
      <c r="F122" s="50" t="s">
        <v>145</v>
      </c>
      <c r="G122" s="50" t="s">
        <v>441</v>
      </c>
      <c r="H122" s="72" t="s">
        <v>409</v>
      </c>
      <c r="I122" s="66" t="str">
        <f>LEFT(K122,2)</f>
        <v>경기</v>
      </c>
      <c r="J122" s="66" t="s">
        <v>565</v>
      </c>
      <c r="K122" s="312" t="s">
        <v>233</v>
      </c>
      <c r="L122" s="298" t="s">
        <v>299</v>
      </c>
      <c r="M122" s="72" t="s">
        <v>230</v>
      </c>
      <c r="N122" s="68">
        <v>44377</v>
      </c>
      <c r="O122" s="69">
        <v>44042</v>
      </c>
      <c r="P122" s="69" t="s">
        <v>1233</v>
      </c>
      <c r="Q122" s="72" t="s">
        <v>69</v>
      </c>
      <c r="R122" s="305" t="s">
        <v>869</v>
      </c>
      <c r="S122" s="65" t="s">
        <v>1238</v>
      </c>
      <c r="T122" s="50">
        <v>700</v>
      </c>
      <c r="U122" s="166">
        <v>1</v>
      </c>
      <c r="V122" s="50"/>
      <c r="W122" s="300" t="s">
        <v>1491</v>
      </c>
      <c r="X122" s="72" t="s">
        <v>1482</v>
      </c>
      <c r="Y122" s="303"/>
      <c r="Z122" s="300" t="s">
        <v>2150</v>
      </c>
      <c r="AA122" s="47" t="s">
        <v>1726</v>
      </c>
      <c r="AB122" s="47" t="s">
        <v>1621</v>
      </c>
      <c r="AC122" s="47" t="s">
        <v>1961</v>
      </c>
      <c r="AD122" s="47" t="s">
        <v>1920</v>
      </c>
      <c r="AE122" s="47"/>
      <c r="AF122" s="308" t="s">
        <v>2253</v>
      </c>
      <c r="AG122" s="302" t="s">
        <v>2446</v>
      </c>
    </row>
    <row r="123" spans="1:33" s="57" customFormat="1" ht="31.2">
      <c r="A123" s="74">
        <f t="shared" si="5"/>
        <v>122</v>
      </c>
      <c r="B123" s="123" t="s">
        <v>1236</v>
      </c>
      <c r="C123" s="123" t="s">
        <v>1219</v>
      </c>
      <c r="D123" s="124" t="s">
        <v>111</v>
      </c>
      <c r="E123" s="82" t="s">
        <v>53</v>
      </c>
      <c r="F123" s="48" t="s">
        <v>785</v>
      </c>
      <c r="G123" s="48" t="s">
        <v>441</v>
      </c>
      <c r="H123" s="48" t="s">
        <v>555</v>
      </c>
      <c r="I123" s="123" t="s">
        <v>565</v>
      </c>
      <c r="J123" s="123" t="s">
        <v>565</v>
      </c>
      <c r="K123" s="125" t="s">
        <v>1220</v>
      </c>
      <c r="L123" s="123" t="s">
        <v>1221</v>
      </c>
      <c r="M123" s="123" t="s">
        <v>464</v>
      </c>
      <c r="N123" s="126">
        <v>45603</v>
      </c>
      <c r="O123" s="120" t="s">
        <v>1222</v>
      </c>
      <c r="P123" s="118" t="s">
        <v>1235</v>
      </c>
      <c r="Q123" s="48" t="s">
        <v>69</v>
      </c>
      <c r="R123" s="74" t="s">
        <v>40</v>
      </c>
      <c r="S123" s="74" t="s">
        <v>1238</v>
      </c>
      <c r="T123" s="48">
        <v>700</v>
      </c>
      <c r="U123" s="48">
        <v>2</v>
      </c>
      <c r="V123" s="82"/>
      <c r="W123" s="123" t="s">
        <v>1491</v>
      </c>
      <c r="X123" s="48" t="s">
        <v>1482</v>
      </c>
      <c r="Y123" s="125"/>
      <c r="Z123" s="123" t="s">
        <v>2150</v>
      </c>
      <c r="AA123" s="393" t="s">
        <v>2111</v>
      </c>
      <c r="AB123" s="393" t="s">
        <v>1620</v>
      </c>
      <c r="AC123" s="393"/>
      <c r="AD123" s="393"/>
      <c r="AE123" s="393"/>
      <c r="AF123" s="233"/>
      <c r="AG123" s="156" t="s">
        <v>2386</v>
      </c>
    </row>
    <row r="124" spans="1:33" s="57" customFormat="1" ht="34.799999999999997">
      <c r="A124" s="94">
        <f t="shared" si="5"/>
        <v>123</v>
      </c>
      <c r="B124" s="22" t="s">
        <v>904</v>
      </c>
      <c r="C124" s="50" t="s">
        <v>905</v>
      </c>
      <c r="D124" s="272" t="s">
        <v>111</v>
      </c>
      <c r="E124" s="91" t="s">
        <v>53</v>
      </c>
      <c r="F124" s="50" t="s">
        <v>145</v>
      </c>
      <c r="G124" s="50" t="s">
        <v>441</v>
      </c>
      <c r="H124" s="22" t="s">
        <v>409</v>
      </c>
      <c r="I124" s="66" t="s">
        <v>677</v>
      </c>
      <c r="J124" s="66" t="s">
        <v>569</v>
      </c>
      <c r="K124" s="183" t="s">
        <v>906</v>
      </c>
      <c r="L124" s="52" t="s">
        <v>907</v>
      </c>
      <c r="M124" s="22" t="s">
        <v>56</v>
      </c>
      <c r="N124" s="68">
        <v>45107</v>
      </c>
      <c r="O124" s="68">
        <v>44882</v>
      </c>
      <c r="P124" s="68" t="s">
        <v>1233</v>
      </c>
      <c r="Q124" s="22" t="s">
        <v>69</v>
      </c>
      <c r="R124" s="14" t="s">
        <v>908</v>
      </c>
      <c r="S124" s="65" t="s">
        <v>908</v>
      </c>
      <c r="T124" s="50">
        <v>700</v>
      </c>
      <c r="U124" s="50">
        <v>1</v>
      </c>
      <c r="V124" s="91"/>
      <c r="W124" s="227"/>
      <c r="X124" s="22" t="s">
        <v>1482</v>
      </c>
      <c r="Y124" s="88"/>
      <c r="Z124" s="7" t="s">
        <v>2155</v>
      </c>
      <c r="AA124" s="47" t="s">
        <v>2059</v>
      </c>
      <c r="AB124" s="47" t="s">
        <v>1619</v>
      </c>
      <c r="AC124" s="47" t="s">
        <v>1919</v>
      </c>
      <c r="AD124" s="47" t="s">
        <v>1920</v>
      </c>
      <c r="AE124" s="357" t="s">
        <v>2505</v>
      </c>
      <c r="AF124" s="8" t="s">
        <v>2369</v>
      </c>
      <c r="AG124" s="257" t="s">
        <v>1495</v>
      </c>
    </row>
    <row r="125" spans="1:33" s="57" customFormat="1" ht="31.2">
      <c r="A125" s="30">
        <f t="shared" si="5"/>
        <v>124</v>
      </c>
      <c r="B125" s="7" t="s">
        <v>1091</v>
      </c>
      <c r="C125" s="16" t="s">
        <v>1092</v>
      </c>
      <c r="D125" s="56" t="s">
        <v>111</v>
      </c>
      <c r="E125" s="33" t="s">
        <v>53</v>
      </c>
      <c r="F125" s="22" t="s">
        <v>83</v>
      </c>
      <c r="G125" s="22" t="s">
        <v>442</v>
      </c>
      <c r="H125" s="78" t="s">
        <v>1094</v>
      </c>
      <c r="I125" s="7" t="s">
        <v>677</v>
      </c>
      <c r="J125" s="7" t="s">
        <v>569</v>
      </c>
      <c r="K125" s="88" t="s">
        <v>1093</v>
      </c>
      <c r="L125" s="7" t="s">
        <v>1095</v>
      </c>
      <c r="M125" s="7" t="s">
        <v>80</v>
      </c>
      <c r="N125" s="192">
        <v>45371</v>
      </c>
      <c r="O125" s="193" t="s">
        <v>1096</v>
      </c>
      <c r="P125" s="198" t="s">
        <v>1233</v>
      </c>
      <c r="Q125" s="72" t="s">
        <v>69</v>
      </c>
      <c r="R125" s="94" t="s">
        <v>102</v>
      </c>
      <c r="S125" s="188" t="s">
        <v>1238</v>
      </c>
      <c r="T125" s="191">
        <v>700</v>
      </c>
      <c r="U125" s="191">
        <v>1</v>
      </c>
      <c r="V125" s="271"/>
      <c r="W125" s="7" t="s">
        <v>1491</v>
      </c>
      <c r="X125" s="22" t="s">
        <v>1482</v>
      </c>
      <c r="Y125" s="8"/>
      <c r="Z125" s="7" t="s">
        <v>2155</v>
      </c>
      <c r="AA125" s="47" t="s">
        <v>2093</v>
      </c>
      <c r="AB125" s="47" t="s">
        <v>1618</v>
      </c>
      <c r="AC125" s="47" t="s">
        <v>2094</v>
      </c>
      <c r="AD125" s="47" t="s">
        <v>1926</v>
      </c>
      <c r="AE125" s="47"/>
      <c r="AF125" s="8" t="s">
        <v>2347</v>
      </c>
      <c r="AG125" s="8"/>
    </row>
    <row r="126" spans="1:33" s="57" customFormat="1" ht="31.2">
      <c r="A126" s="30">
        <f t="shared" si="5"/>
        <v>125</v>
      </c>
      <c r="B126" s="7" t="s">
        <v>2179</v>
      </c>
      <c r="C126" s="7" t="s">
        <v>1144</v>
      </c>
      <c r="D126" s="56" t="s">
        <v>111</v>
      </c>
      <c r="E126" s="33" t="s">
        <v>53</v>
      </c>
      <c r="F126" s="22" t="s">
        <v>222</v>
      </c>
      <c r="G126" s="22" t="s">
        <v>441</v>
      </c>
      <c r="H126" s="78" t="s">
        <v>863</v>
      </c>
      <c r="I126" s="7" t="s">
        <v>575</v>
      </c>
      <c r="J126" s="7" t="s">
        <v>564</v>
      </c>
      <c r="K126" s="88" t="s">
        <v>1145</v>
      </c>
      <c r="L126" s="7" t="s">
        <v>1146</v>
      </c>
      <c r="M126" s="7" t="s">
        <v>55</v>
      </c>
      <c r="N126" s="34">
        <v>45527</v>
      </c>
      <c r="O126" s="24" t="s">
        <v>1147</v>
      </c>
      <c r="P126" s="16" t="s">
        <v>1235</v>
      </c>
      <c r="Q126" s="72" t="s">
        <v>69</v>
      </c>
      <c r="R126" s="94" t="s">
        <v>139</v>
      </c>
      <c r="S126" s="94" t="s">
        <v>423</v>
      </c>
      <c r="T126" s="22">
        <v>700</v>
      </c>
      <c r="U126" s="22">
        <v>3</v>
      </c>
      <c r="V126" s="73"/>
      <c r="W126" s="221" t="s">
        <v>1491</v>
      </c>
      <c r="X126" s="22" t="s">
        <v>1482</v>
      </c>
      <c r="Y126" s="88"/>
      <c r="Z126" s="7" t="s">
        <v>2151</v>
      </c>
      <c r="AA126" s="47" t="s">
        <v>2102</v>
      </c>
      <c r="AB126" s="47" t="s">
        <v>1617</v>
      </c>
      <c r="AC126" s="47" t="s">
        <v>2103</v>
      </c>
      <c r="AD126" s="47" t="s">
        <v>1920</v>
      </c>
      <c r="AE126" s="47"/>
      <c r="AF126" s="32" t="s">
        <v>2355</v>
      </c>
      <c r="AG126" s="32" t="s">
        <v>2354</v>
      </c>
    </row>
    <row r="127" spans="1:33" s="57" customFormat="1" ht="46.8">
      <c r="A127" s="30">
        <f t="shared" si="5"/>
        <v>126</v>
      </c>
      <c r="B127" s="78" t="s">
        <v>969</v>
      </c>
      <c r="C127" s="22" t="s">
        <v>382</v>
      </c>
      <c r="D127" s="56" t="s">
        <v>111</v>
      </c>
      <c r="E127" s="33" t="s">
        <v>53</v>
      </c>
      <c r="F127" s="22" t="s">
        <v>145</v>
      </c>
      <c r="G127" s="22" t="s">
        <v>441</v>
      </c>
      <c r="H127" s="78" t="s">
        <v>408</v>
      </c>
      <c r="I127" s="51" t="s">
        <v>766</v>
      </c>
      <c r="J127" s="51" t="s">
        <v>564</v>
      </c>
      <c r="K127" s="62" t="s">
        <v>970</v>
      </c>
      <c r="L127" s="52" t="s">
        <v>976</v>
      </c>
      <c r="M127" s="22" t="s">
        <v>57</v>
      </c>
      <c r="N127" s="27">
        <v>45195</v>
      </c>
      <c r="O127" s="27">
        <v>44889</v>
      </c>
      <c r="P127" s="27" t="s">
        <v>1235</v>
      </c>
      <c r="Q127" s="72" t="s">
        <v>69</v>
      </c>
      <c r="R127" s="14" t="s">
        <v>139</v>
      </c>
      <c r="S127" s="94" t="s">
        <v>1238</v>
      </c>
      <c r="T127" s="22">
        <v>700</v>
      </c>
      <c r="U127" s="22">
        <v>2</v>
      </c>
      <c r="V127" s="73"/>
      <c r="W127" s="221" t="s">
        <v>1491</v>
      </c>
      <c r="X127" s="22" t="s">
        <v>1482</v>
      </c>
      <c r="Y127" s="88"/>
      <c r="Z127" s="7" t="s">
        <v>2155</v>
      </c>
      <c r="AA127" s="47" t="s">
        <v>2072</v>
      </c>
      <c r="AB127" s="47" t="s">
        <v>1616</v>
      </c>
      <c r="AC127" s="47" t="s">
        <v>2073</v>
      </c>
      <c r="AD127" s="47" t="s">
        <v>1920</v>
      </c>
      <c r="AE127" s="47"/>
      <c r="AF127" s="32" t="s">
        <v>2334</v>
      </c>
      <c r="AG127" s="32" t="s">
        <v>2335</v>
      </c>
    </row>
    <row r="128" spans="1:33" s="57" customFormat="1" ht="31.2">
      <c r="A128" s="30">
        <f t="shared" si="5"/>
        <v>127</v>
      </c>
      <c r="B128" s="7" t="s">
        <v>1171</v>
      </c>
      <c r="C128" s="7" t="s">
        <v>1172</v>
      </c>
      <c r="D128" s="56" t="s">
        <v>111</v>
      </c>
      <c r="E128" s="33" t="s">
        <v>53</v>
      </c>
      <c r="F128" s="22" t="s">
        <v>145</v>
      </c>
      <c r="G128" s="22" t="s">
        <v>441</v>
      </c>
      <c r="H128" s="78" t="s">
        <v>1173</v>
      </c>
      <c r="I128" s="7" t="s">
        <v>766</v>
      </c>
      <c r="J128" s="7" t="s">
        <v>564</v>
      </c>
      <c r="K128" s="88" t="s">
        <v>1175</v>
      </c>
      <c r="L128" s="7" t="s">
        <v>1176</v>
      </c>
      <c r="M128" s="7" t="s">
        <v>485</v>
      </c>
      <c r="N128" s="34">
        <v>45581</v>
      </c>
      <c r="O128" s="24" t="s">
        <v>1174</v>
      </c>
      <c r="P128" s="16" t="s">
        <v>1235</v>
      </c>
      <c r="Q128" s="72" t="s">
        <v>69</v>
      </c>
      <c r="R128" s="94" t="s">
        <v>882</v>
      </c>
      <c r="S128" s="94" t="s">
        <v>1238</v>
      </c>
      <c r="T128" s="22">
        <v>700</v>
      </c>
      <c r="U128" s="22">
        <v>3</v>
      </c>
      <c r="V128" s="73"/>
      <c r="W128" s="7"/>
      <c r="X128" s="22" t="s">
        <v>1482</v>
      </c>
      <c r="Y128" s="88"/>
      <c r="Z128" s="7" t="s">
        <v>2150</v>
      </c>
      <c r="AA128" s="47" t="s">
        <v>2109</v>
      </c>
      <c r="AB128" s="47" t="s">
        <v>1615</v>
      </c>
      <c r="AC128" s="47"/>
      <c r="AD128" s="47"/>
      <c r="AE128" s="47"/>
      <c r="AF128" s="8" t="s">
        <v>2346</v>
      </c>
      <c r="AG128" s="8" t="s">
        <v>1503</v>
      </c>
    </row>
    <row r="129" spans="1:33" s="57" customFormat="1" ht="34.799999999999997">
      <c r="A129" s="30">
        <f t="shared" si="5"/>
        <v>128</v>
      </c>
      <c r="B129" s="78" t="s">
        <v>888</v>
      </c>
      <c r="C129" s="22" t="s">
        <v>889</v>
      </c>
      <c r="D129" s="56" t="s">
        <v>424</v>
      </c>
      <c r="E129" s="33" t="s">
        <v>713</v>
      </c>
      <c r="F129" s="22" t="s">
        <v>136</v>
      </c>
      <c r="G129" s="22" t="s">
        <v>441</v>
      </c>
      <c r="H129" s="22" t="s">
        <v>408</v>
      </c>
      <c r="I129" s="51" t="s">
        <v>766</v>
      </c>
      <c r="J129" s="51" t="s">
        <v>564</v>
      </c>
      <c r="K129" s="62" t="s">
        <v>890</v>
      </c>
      <c r="L129" s="52" t="s">
        <v>891</v>
      </c>
      <c r="M129" s="22" t="s">
        <v>485</v>
      </c>
      <c r="N129" s="27">
        <v>45072</v>
      </c>
      <c r="O129" s="27" t="s">
        <v>892</v>
      </c>
      <c r="P129" s="27" t="s">
        <v>1235</v>
      </c>
      <c r="Q129" s="72" t="s">
        <v>69</v>
      </c>
      <c r="R129" s="14" t="s">
        <v>869</v>
      </c>
      <c r="S129" s="94" t="s">
        <v>119</v>
      </c>
      <c r="T129" s="22">
        <v>700</v>
      </c>
      <c r="U129" s="22">
        <v>3</v>
      </c>
      <c r="V129" s="73" t="s">
        <v>1374</v>
      </c>
      <c r="W129" s="221" t="s">
        <v>1491</v>
      </c>
      <c r="X129" s="22" t="s">
        <v>1482</v>
      </c>
      <c r="Y129" s="88"/>
      <c r="Z129" s="7" t="s">
        <v>2150</v>
      </c>
      <c r="AA129" s="47" t="s">
        <v>2054</v>
      </c>
      <c r="AB129" s="357" t="s">
        <v>2497</v>
      </c>
      <c r="AC129" s="47"/>
      <c r="AD129" s="47"/>
      <c r="AE129" s="47"/>
      <c r="AF129" s="8" t="s">
        <v>2365</v>
      </c>
      <c r="AG129" s="8" t="s">
        <v>1508</v>
      </c>
    </row>
    <row r="130" spans="1:33" s="57" customFormat="1" ht="17.399999999999999">
      <c r="A130" s="30">
        <f t="shared" si="5"/>
        <v>129</v>
      </c>
      <c r="B130" s="7" t="s">
        <v>1086</v>
      </c>
      <c r="C130" s="7" t="s">
        <v>889</v>
      </c>
      <c r="D130" s="56" t="s">
        <v>111</v>
      </c>
      <c r="E130" s="33" t="s">
        <v>53</v>
      </c>
      <c r="F130" s="22" t="s">
        <v>145</v>
      </c>
      <c r="G130" s="22" t="s">
        <v>441</v>
      </c>
      <c r="H130" s="78" t="s">
        <v>1087</v>
      </c>
      <c r="I130" s="7" t="s">
        <v>766</v>
      </c>
      <c r="J130" s="7" t="s">
        <v>564</v>
      </c>
      <c r="K130" s="88" t="s">
        <v>1088</v>
      </c>
      <c r="L130" s="7" t="s">
        <v>1089</v>
      </c>
      <c r="M130" s="7" t="s">
        <v>485</v>
      </c>
      <c r="N130" s="34">
        <v>45370</v>
      </c>
      <c r="O130" s="24" t="s">
        <v>1090</v>
      </c>
      <c r="P130" s="16" t="s">
        <v>1235</v>
      </c>
      <c r="Q130" s="72" t="s">
        <v>69</v>
      </c>
      <c r="R130" s="94" t="s">
        <v>139</v>
      </c>
      <c r="S130" s="94" t="s">
        <v>423</v>
      </c>
      <c r="T130" s="22">
        <v>700</v>
      </c>
      <c r="U130" s="22">
        <v>2</v>
      </c>
      <c r="V130" s="73"/>
      <c r="W130" s="221" t="s">
        <v>1491</v>
      </c>
      <c r="X130" s="22" t="s">
        <v>1482</v>
      </c>
      <c r="Y130" s="88"/>
      <c r="Z130" s="7" t="s">
        <v>2155</v>
      </c>
      <c r="AA130" s="47" t="s">
        <v>2092</v>
      </c>
      <c r="AB130" s="47" t="s">
        <v>1614</v>
      </c>
      <c r="AC130" s="47"/>
      <c r="AD130" s="47"/>
      <c r="AE130" s="47"/>
      <c r="AF130" s="8" t="s">
        <v>2346</v>
      </c>
      <c r="AG130" s="8"/>
    </row>
    <row r="131" spans="1:33" s="57" customFormat="1" ht="31.2">
      <c r="A131" s="296">
        <f t="shared" ref="A131:A194" si="6">A130+1</f>
        <v>130</v>
      </c>
      <c r="B131" s="72" t="s">
        <v>840</v>
      </c>
      <c r="C131" s="50" t="s">
        <v>842</v>
      </c>
      <c r="D131" s="50" t="s">
        <v>111</v>
      </c>
      <c r="E131" s="50" t="s">
        <v>53</v>
      </c>
      <c r="F131" s="50" t="s">
        <v>83</v>
      </c>
      <c r="G131" s="50" t="s">
        <v>442</v>
      </c>
      <c r="H131" s="72" t="s">
        <v>850</v>
      </c>
      <c r="I131" s="66" t="s">
        <v>606</v>
      </c>
      <c r="J131" s="66" t="s">
        <v>569</v>
      </c>
      <c r="K131" s="297" t="s">
        <v>845</v>
      </c>
      <c r="L131" s="298" t="s">
        <v>851</v>
      </c>
      <c r="M131" s="72" t="s">
        <v>125</v>
      </c>
      <c r="N131" s="68">
        <v>44987</v>
      </c>
      <c r="O131" s="68" t="s">
        <v>848</v>
      </c>
      <c r="P131" s="68" t="s">
        <v>1233</v>
      </c>
      <c r="Q131" s="72" t="s">
        <v>69</v>
      </c>
      <c r="R131" s="296" t="s">
        <v>40</v>
      </c>
      <c r="S131" s="65" t="s">
        <v>40</v>
      </c>
      <c r="T131" s="50">
        <v>700</v>
      </c>
      <c r="U131" s="50">
        <v>1</v>
      </c>
      <c r="V131" s="269"/>
      <c r="W131" s="300"/>
      <c r="X131" s="72" t="s">
        <v>1482</v>
      </c>
      <c r="Y131" s="301"/>
      <c r="Z131" s="305" t="s">
        <v>2155</v>
      </c>
      <c r="AA131" s="47" t="s">
        <v>2042</v>
      </c>
      <c r="AB131" s="47" t="s">
        <v>1613</v>
      </c>
      <c r="AC131" s="47" t="s">
        <v>1938</v>
      </c>
      <c r="AD131" s="47" t="s">
        <v>1918</v>
      </c>
      <c r="AE131" s="47"/>
      <c r="AF131" s="302" t="s">
        <v>2261</v>
      </c>
      <c r="AG131" s="302"/>
    </row>
    <row r="132" spans="1:33" s="77" customFormat="1" ht="17.399999999999999">
      <c r="A132" s="30">
        <f t="shared" si="6"/>
        <v>131</v>
      </c>
      <c r="B132" s="78" t="s">
        <v>940</v>
      </c>
      <c r="C132" s="22" t="s">
        <v>941</v>
      </c>
      <c r="D132" s="56" t="s">
        <v>111</v>
      </c>
      <c r="E132" s="33" t="s">
        <v>53</v>
      </c>
      <c r="F132" s="22" t="s">
        <v>222</v>
      </c>
      <c r="G132" s="22" t="s">
        <v>441</v>
      </c>
      <c r="H132" s="78" t="s">
        <v>409</v>
      </c>
      <c r="I132" s="51" t="s">
        <v>611</v>
      </c>
      <c r="J132" s="51" t="s">
        <v>568</v>
      </c>
      <c r="K132" s="62" t="s">
        <v>945</v>
      </c>
      <c r="L132" s="52" t="s">
        <v>944</v>
      </c>
      <c r="M132" s="22" t="s">
        <v>946</v>
      </c>
      <c r="N132" s="27">
        <v>45148</v>
      </c>
      <c r="O132" s="27">
        <v>44819</v>
      </c>
      <c r="P132" s="27" t="s">
        <v>1233</v>
      </c>
      <c r="Q132" s="72" t="s">
        <v>69</v>
      </c>
      <c r="R132" s="94" t="s">
        <v>903</v>
      </c>
      <c r="S132" s="94" t="s">
        <v>871</v>
      </c>
      <c r="T132" s="22">
        <v>700</v>
      </c>
      <c r="U132" s="22">
        <v>1</v>
      </c>
      <c r="V132" s="73"/>
      <c r="W132" s="221"/>
      <c r="X132" s="22" t="s">
        <v>1482</v>
      </c>
      <c r="Y132" s="88"/>
      <c r="Z132" s="7" t="s">
        <v>2150</v>
      </c>
      <c r="AA132" s="47" t="s">
        <v>2066</v>
      </c>
      <c r="AB132" s="47" t="s">
        <v>1612</v>
      </c>
      <c r="AC132" s="47"/>
      <c r="AD132" s="47"/>
      <c r="AE132" s="47"/>
      <c r="AF132" s="8" t="s">
        <v>2380</v>
      </c>
      <c r="AG132" s="220"/>
    </row>
    <row r="133" spans="1:33" s="70" customFormat="1" ht="31.2">
      <c r="A133" s="30">
        <f t="shared" si="6"/>
        <v>132</v>
      </c>
      <c r="B133" s="7" t="s">
        <v>1194</v>
      </c>
      <c r="C133" s="7" t="s">
        <v>339</v>
      </c>
      <c r="D133" s="56" t="s">
        <v>111</v>
      </c>
      <c r="E133" s="33" t="s">
        <v>53</v>
      </c>
      <c r="F133" s="22" t="s">
        <v>145</v>
      </c>
      <c r="G133" s="22" t="s">
        <v>441</v>
      </c>
      <c r="H133" s="78" t="s">
        <v>1228</v>
      </c>
      <c r="I133" s="7" t="s">
        <v>646</v>
      </c>
      <c r="J133" s="7" t="s">
        <v>569</v>
      </c>
      <c r="K133" s="88" t="s">
        <v>1229</v>
      </c>
      <c r="L133" s="7" t="s">
        <v>1227</v>
      </c>
      <c r="M133" s="7" t="s">
        <v>101</v>
      </c>
      <c r="N133" s="192">
        <v>45604</v>
      </c>
      <c r="O133" s="193" t="s">
        <v>1225</v>
      </c>
      <c r="P133" s="198" t="s">
        <v>1233</v>
      </c>
      <c r="Q133" s="72" t="s">
        <v>69</v>
      </c>
      <c r="R133" s="94" t="s">
        <v>1226</v>
      </c>
      <c r="S133" s="188" t="s">
        <v>423</v>
      </c>
      <c r="T133" s="191">
        <v>700</v>
      </c>
      <c r="U133" s="191">
        <v>2</v>
      </c>
      <c r="V133" s="280"/>
      <c r="W133" s="7"/>
      <c r="X133" s="22" t="s">
        <v>1482</v>
      </c>
      <c r="Y133" s="88"/>
      <c r="Z133" s="7" t="s">
        <v>2150</v>
      </c>
      <c r="AA133" s="47" t="s">
        <v>2112</v>
      </c>
      <c r="AB133" s="47" t="s">
        <v>1611</v>
      </c>
      <c r="AC133" s="47" t="s">
        <v>2056</v>
      </c>
      <c r="AD133" s="47" t="s">
        <v>1920</v>
      </c>
      <c r="AE133" s="47"/>
      <c r="AF133" s="8" t="s">
        <v>2387</v>
      </c>
      <c r="AG133" s="220"/>
    </row>
    <row r="134" spans="1:33" s="57" customFormat="1" ht="31.2">
      <c r="A134" s="30">
        <f t="shared" si="6"/>
        <v>133</v>
      </c>
      <c r="B134" s="78" t="s">
        <v>2175</v>
      </c>
      <c r="C134" s="22" t="s">
        <v>855</v>
      </c>
      <c r="D134" s="22" t="s">
        <v>1281</v>
      </c>
      <c r="E134" s="22" t="s">
        <v>113</v>
      </c>
      <c r="F134" s="22" t="s">
        <v>222</v>
      </c>
      <c r="G134" s="22" t="s">
        <v>441</v>
      </c>
      <c r="H134" s="22" t="s">
        <v>863</v>
      </c>
      <c r="I134" s="51" t="s">
        <v>856</v>
      </c>
      <c r="J134" s="51" t="s">
        <v>564</v>
      </c>
      <c r="K134" s="62" t="s">
        <v>857</v>
      </c>
      <c r="L134" s="52" t="s">
        <v>858</v>
      </c>
      <c r="M134" s="22" t="s">
        <v>51</v>
      </c>
      <c r="N134" s="27">
        <v>45019</v>
      </c>
      <c r="O134" s="27">
        <v>44706</v>
      </c>
      <c r="P134" s="27" t="s">
        <v>1235</v>
      </c>
      <c r="Q134" s="22" t="s">
        <v>69</v>
      </c>
      <c r="R134" s="94" t="s">
        <v>139</v>
      </c>
      <c r="S134" s="94" t="s">
        <v>1238</v>
      </c>
      <c r="T134" s="22">
        <v>700</v>
      </c>
      <c r="U134" s="22">
        <v>2</v>
      </c>
      <c r="V134" s="95"/>
      <c r="W134" s="221" t="s">
        <v>1491</v>
      </c>
      <c r="X134" s="22" t="s">
        <v>1482</v>
      </c>
      <c r="Y134" s="88"/>
      <c r="Z134" s="7" t="s">
        <v>2151</v>
      </c>
      <c r="AA134" s="47" t="s">
        <v>2045</v>
      </c>
      <c r="AB134" s="47" t="s">
        <v>1610</v>
      </c>
      <c r="AC134" s="47"/>
      <c r="AD134" s="47"/>
      <c r="AE134" s="47"/>
      <c r="AF134" s="8" t="s">
        <v>2360</v>
      </c>
      <c r="AG134" s="220"/>
    </row>
    <row r="135" spans="1:33" s="57" customFormat="1" ht="17.399999999999999">
      <c r="A135" s="74">
        <f t="shared" si="6"/>
        <v>134</v>
      </c>
      <c r="B135" s="123" t="s">
        <v>1125</v>
      </c>
      <c r="C135" s="123" t="s">
        <v>383</v>
      </c>
      <c r="D135" s="124" t="s">
        <v>1281</v>
      </c>
      <c r="E135" s="82" t="s">
        <v>113</v>
      </c>
      <c r="F135" s="48" t="s">
        <v>145</v>
      </c>
      <c r="G135" s="48" t="s">
        <v>441</v>
      </c>
      <c r="H135" s="48" t="s">
        <v>1122</v>
      </c>
      <c r="I135" s="123" t="s">
        <v>856</v>
      </c>
      <c r="J135" s="123" t="s">
        <v>564</v>
      </c>
      <c r="K135" s="125" t="s">
        <v>1126</v>
      </c>
      <c r="L135" s="123" t="s">
        <v>1127</v>
      </c>
      <c r="M135" s="123" t="s">
        <v>51</v>
      </c>
      <c r="N135" s="126">
        <v>45482</v>
      </c>
      <c r="O135" s="120" t="s">
        <v>1128</v>
      </c>
      <c r="P135" s="118" t="s">
        <v>1233</v>
      </c>
      <c r="Q135" s="63" t="s">
        <v>114</v>
      </c>
      <c r="R135" s="74" t="s">
        <v>88</v>
      </c>
      <c r="S135" s="74" t="s">
        <v>378</v>
      </c>
      <c r="T135" s="48">
        <v>700</v>
      </c>
      <c r="U135" s="48">
        <v>2</v>
      </c>
      <c r="V135" s="401" t="s">
        <v>1382</v>
      </c>
      <c r="W135" s="123"/>
      <c r="X135" s="48" t="s">
        <v>1482</v>
      </c>
      <c r="Y135" s="125"/>
      <c r="Z135" s="123" t="s">
        <v>2150</v>
      </c>
      <c r="AA135" s="393" t="s">
        <v>2098</v>
      </c>
      <c r="AB135" s="393" t="s">
        <v>1609</v>
      </c>
      <c r="AC135" s="393"/>
      <c r="AD135" s="393"/>
      <c r="AE135" s="393"/>
      <c r="AF135" s="233" t="s">
        <v>2478</v>
      </c>
      <c r="AG135" s="233" t="s">
        <v>1479</v>
      </c>
    </row>
    <row r="136" spans="1:33" s="57" customFormat="1" ht="34.799999999999997">
      <c r="A136" s="30">
        <f t="shared" si="6"/>
        <v>135</v>
      </c>
      <c r="B136" s="7" t="s">
        <v>1193</v>
      </c>
      <c r="C136" s="7" t="s">
        <v>1197</v>
      </c>
      <c r="D136" s="56" t="s">
        <v>1281</v>
      </c>
      <c r="E136" s="33" t="s">
        <v>113</v>
      </c>
      <c r="F136" s="22" t="s">
        <v>145</v>
      </c>
      <c r="G136" s="22" t="s">
        <v>441</v>
      </c>
      <c r="H136" s="78" t="s">
        <v>548</v>
      </c>
      <c r="I136" s="7" t="s">
        <v>856</v>
      </c>
      <c r="J136" s="7" t="s">
        <v>564</v>
      </c>
      <c r="K136" s="88" t="s">
        <v>1231</v>
      </c>
      <c r="L136" s="7" t="s">
        <v>1196</v>
      </c>
      <c r="M136" s="7" t="s">
        <v>51</v>
      </c>
      <c r="N136" s="192">
        <v>45602</v>
      </c>
      <c r="O136" s="193" t="s">
        <v>1230</v>
      </c>
      <c r="P136" s="198" t="s">
        <v>1233</v>
      </c>
      <c r="Q136" s="72" t="s">
        <v>69</v>
      </c>
      <c r="R136" s="94" t="s">
        <v>908</v>
      </c>
      <c r="S136" s="188" t="s">
        <v>908</v>
      </c>
      <c r="T136" s="191">
        <v>700</v>
      </c>
      <c r="U136" s="191">
        <v>2</v>
      </c>
      <c r="V136" s="280"/>
      <c r="W136" s="7"/>
      <c r="X136" s="22" t="s">
        <v>1482</v>
      </c>
      <c r="Y136" s="88"/>
      <c r="Z136" s="7" t="s">
        <v>2150</v>
      </c>
      <c r="AA136" s="47" t="s">
        <v>2110</v>
      </c>
      <c r="AB136" s="47" t="s">
        <v>1608</v>
      </c>
      <c r="AC136" s="47" t="s">
        <v>1919</v>
      </c>
      <c r="AD136" s="47" t="s">
        <v>1920</v>
      </c>
      <c r="AE136" s="357" t="s">
        <v>2505</v>
      </c>
      <c r="AF136" s="8" t="s">
        <v>2385</v>
      </c>
      <c r="AG136" s="222"/>
    </row>
    <row r="137" spans="1:33" s="57" customFormat="1" ht="31.2">
      <c r="A137" s="30">
        <f t="shared" si="6"/>
        <v>136</v>
      </c>
      <c r="B137" s="7" t="s">
        <v>1063</v>
      </c>
      <c r="C137" s="7" t="s">
        <v>1064</v>
      </c>
      <c r="D137" s="56" t="s">
        <v>111</v>
      </c>
      <c r="E137" s="33" t="s">
        <v>53</v>
      </c>
      <c r="F137" s="22" t="s">
        <v>145</v>
      </c>
      <c r="G137" s="22" t="s">
        <v>441</v>
      </c>
      <c r="H137" s="78" t="s">
        <v>882</v>
      </c>
      <c r="I137" s="7" t="s">
        <v>571</v>
      </c>
      <c r="J137" s="7" t="s">
        <v>571</v>
      </c>
      <c r="K137" s="88" t="s">
        <v>1071</v>
      </c>
      <c r="L137" s="7" t="s">
        <v>1065</v>
      </c>
      <c r="M137" s="7" t="s">
        <v>242</v>
      </c>
      <c r="N137" s="34">
        <v>45351</v>
      </c>
      <c r="O137" s="24" t="s">
        <v>1405</v>
      </c>
      <c r="P137" s="16" t="s">
        <v>1233</v>
      </c>
      <c r="Q137" s="72" t="s">
        <v>69</v>
      </c>
      <c r="R137" s="94" t="s">
        <v>882</v>
      </c>
      <c r="S137" s="94" t="s">
        <v>908</v>
      </c>
      <c r="T137" s="22">
        <v>700</v>
      </c>
      <c r="U137" s="22">
        <v>3</v>
      </c>
      <c r="V137" s="278" t="s">
        <v>1406</v>
      </c>
      <c r="W137" s="7" t="s">
        <v>1491</v>
      </c>
      <c r="X137" s="22" t="s">
        <v>1482</v>
      </c>
      <c r="Y137" s="88"/>
      <c r="Z137" s="7" t="s">
        <v>2150</v>
      </c>
      <c r="AA137" s="47" t="s">
        <v>2090</v>
      </c>
      <c r="AB137" s="47" t="s">
        <v>1607</v>
      </c>
      <c r="AC137" s="47"/>
      <c r="AD137" s="47"/>
      <c r="AE137" s="47"/>
      <c r="AF137" s="8" t="s">
        <v>2344</v>
      </c>
      <c r="AG137" s="88" t="s">
        <v>1500</v>
      </c>
    </row>
    <row r="138" spans="1:33" s="129" customFormat="1" ht="31.2">
      <c r="A138" s="30">
        <f t="shared" si="6"/>
        <v>137</v>
      </c>
      <c r="B138" s="78" t="s">
        <v>900</v>
      </c>
      <c r="C138" s="22" t="s">
        <v>901</v>
      </c>
      <c r="D138" s="56" t="s">
        <v>111</v>
      </c>
      <c r="E138" s="33" t="s">
        <v>53</v>
      </c>
      <c r="F138" s="22" t="s">
        <v>145</v>
      </c>
      <c r="G138" s="22" t="s">
        <v>441</v>
      </c>
      <c r="H138" s="22" t="s">
        <v>408</v>
      </c>
      <c r="I138" s="51" t="s">
        <v>565</v>
      </c>
      <c r="J138" s="51" t="s">
        <v>565</v>
      </c>
      <c r="K138" s="62" t="s">
        <v>899</v>
      </c>
      <c r="L138" s="52" t="s">
        <v>897</v>
      </c>
      <c r="M138" s="22" t="s">
        <v>116</v>
      </c>
      <c r="N138" s="195">
        <v>45103</v>
      </c>
      <c r="O138" s="195" t="s">
        <v>902</v>
      </c>
      <c r="P138" s="195" t="s">
        <v>1235</v>
      </c>
      <c r="Q138" s="72" t="s">
        <v>69</v>
      </c>
      <c r="R138" s="14" t="s">
        <v>903</v>
      </c>
      <c r="S138" s="188" t="s">
        <v>871</v>
      </c>
      <c r="T138" s="191">
        <v>700</v>
      </c>
      <c r="U138" s="191">
        <v>3</v>
      </c>
      <c r="V138" s="271"/>
      <c r="W138" s="221"/>
      <c r="X138" s="22" t="s">
        <v>1482</v>
      </c>
      <c r="Y138" s="88"/>
      <c r="Z138" s="7" t="s">
        <v>2155</v>
      </c>
      <c r="AA138" s="47" t="s">
        <v>2057</v>
      </c>
      <c r="AB138" s="47" t="s">
        <v>1606</v>
      </c>
      <c r="AC138" s="47" t="s">
        <v>2058</v>
      </c>
      <c r="AD138" s="47" t="s">
        <v>1920</v>
      </c>
      <c r="AE138" s="47"/>
      <c r="AF138" s="8" t="s">
        <v>2368</v>
      </c>
      <c r="AG138" s="220" t="s">
        <v>2367</v>
      </c>
    </row>
    <row r="139" spans="1:33" s="77" customFormat="1" ht="34.799999999999997">
      <c r="A139" s="30">
        <f t="shared" si="6"/>
        <v>138</v>
      </c>
      <c r="B139" s="7" t="s">
        <v>1124</v>
      </c>
      <c r="C139" s="7" t="s">
        <v>1134</v>
      </c>
      <c r="D139" s="56" t="s">
        <v>111</v>
      </c>
      <c r="E139" s="33" t="s">
        <v>53</v>
      </c>
      <c r="F139" s="22" t="s">
        <v>222</v>
      </c>
      <c r="G139" s="22" t="s">
        <v>441</v>
      </c>
      <c r="H139" s="78" t="s">
        <v>409</v>
      </c>
      <c r="I139" s="7" t="s">
        <v>667</v>
      </c>
      <c r="J139" s="7" t="s">
        <v>564</v>
      </c>
      <c r="K139" s="88" t="s">
        <v>1135</v>
      </c>
      <c r="L139" s="7" t="s">
        <v>1136</v>
      </c>
      <c r="M139" s="7" t="s">
        <v>110</v>
      </c>
      <c r="N139" s="34">
        <v>45497</v>
      </c>
      <c r="O139" s="24" t="s">
        <v>1137</v>
      </c>
      <c r="P139" s="16" t="s">
        <v>1233</v>
      </c>
      <c r="Q139" s="72" t="s">
        <v>69</v>
      </c>
      <c r="R139" s="94" t="s">
        <v>882</v>
      </c>
      <c r="S139" s="94" t="s">
        <v>1238</v>
      </c>
      <c r="T139" s="22">
        <v>700</v>
      </c>
      <c r="U139" s="22">
        <v>2</v>
      </c>
      <c r="V139" s="279"/>
      <c r="W139" s="7" t="s">
        <v>1491</v>
      </c>
      <c r="X139" s="22" t="s">
        <v>1482</v>
      </c>
      <c r="Y139" s="88"/>
      <c r="Z139" s="7" t="s">
        <v>2150</v>
      </c>
      <c r="AA139" s="47" t="s">
        <v>2100</v>
      </c>
      <c r="AB139" s="47" t="s">
        <v>1605</v>
      </c>
      <c r="AC139" s="47"/>
      <c r="AD139" s="47"/>
      <c r="AE139" s="357" t="s">
        <v>2505</v>
      </c>
      <c r="AF139" s="8" t="s">
        <v>2352</v>
      </c>
      <c r="AG139" s="88"/>
    </row>
    <row r="140" spans="1:33" s="77" customFormat="1" ht="17.399999999999999">
      <c r="A140" s="30">
        <f t="shared" si="6"/>
        <v>139</v>
      </c>
      <c r="B140" s="78" t="s">
        <v>953</v>
      </c>
      <c r="C140" s="22" t="s">
        <v>954</v>
      </c>
      <c r="D140" s="56" t="s">
        <v>111</v>
      </c>
      <c r="E140" s="33" t="s">
        <v>53</v>
      </c>
      <c r="F140" s="22" t="s">
        <v>405</v>
      </c>
      <c r="G140" s="22" t="s">
        <v>441</v>
      </c>
      <c r="H140" s="78" t="s">
        <v>955</v>
      </c>
      <c r="I140" s="51" t="s">
        <v>572</v>
      </c>
      <c r="J140" s="51" t="s">
        <v>568</v>
      </c>
      <c r="K140" s="62" t="s">
        <v>957</v>
      </c>
      <c r="L140" s="52" t="s">
        <v>956</v>
      </c>
      <c r="M140" s="22" t="s">
        <v>86</v>
      </c>
      <c r="N140" s="27">
        <v>45159</v>
      </c>
      <c r="O140" s="27">
        <v>45084</v>
      </c>
      <c r="P140" s="27" t="s">
        <v>1233</v>
      </c>
      <c r="Q140" s="60" t="s">
        <v>114</v>
      </c>
      <c r="R140" s="14" t="s">
        <v>695</v>
      </c>
      <c r="S140" s="94" t="s">
        <v>695</v>
      </c>
      <c r="T140" s="22">
        <v>700</v>
      </c>
      <c r="U140" s="22">
        <v>1</v>
      </c>
      <c r="V140" s="273" t="s">
        <v>1376</v>
      </c>
      <c r="W140" s="221"/>
      <c r="X140" s="22" t="s">
        <v>1482</v>
      </c>
      <c r="Y140" s="88"/>
      <c r="Z140" s="7" t="s">
        <v>2150</v>
      </c>
      <c r="AA140" s="47" t="s">
        <v>2068</v>
      </c>
      <c r="AB140" s="47" t="s">
        <v>1604</v>
      </c>
      <c r="AC140" s="47"/>
      <c r="AD140" s="47"/>
      <c r="AE140" s="47"/>
      <c r="AF140" s="8" t="s">
        <v>2383</v>
      </c>
      <c r="AG140" s="220"/>
    </row>
    <row r="141" spans="1:33" s="77" customFormat="1" ht="17.399999999999999">
      <c r="A141" s="30">
        <f t="shared" si="6"/>
        <v>140</v>
      </c>
      <c r="B141" s="7" t="s">
        <v>1310</v>
      </c>
      <c r="C141" s="7" t="s">
        <v>1312</v>
      </c>
      <c r="D141" s="56" t="s">
        <v>111</v>
      </c>
      <c r="E141" s="33" t="s">
        <v>53</v>
      </c>
      <c r="F141" s="22" t="s">
        <v>83</v>
      </c>
      <c r="G141" s="22" t="s">
        <v>442</v>
      </c>
      <c r="H141" s="78" t="s">
        <v>1058</v>
      </c>
      <c r="I141" s="7" t="s">
        <v>572</v>
      </c>
      <c r="J141" s="7" t="s">
        <v>568</v>
      </c>
      <c r="K141" s="88" t="s">
        <v>1313</v>
      </c>
      <c r="L141" s="7" t="s">
        <v>1314</v>
      </c>
      <c r="M141" s="7" t="s">
        <v>86</v>
      </c>
      <c r="N141" s="192">
        <v>45709</v>
      </c>
      <c r="O141" s="193" t="s">
        <v>1311</v>
      </c>
      <c r="P141" s="198" t="s">
        <v>1273</v>
      </c>
      <c r="Q141" s="72" t="s">
        <v>69</v>
      </c>
      <c r="R141" s="94" t="s">
        <v>908</v>
      </c>
      <c r="S141" s="188" t="s">
        <v>908</v>
      </c>
      <c r="T141" s="191">
        <v>700</v>
      </c>
      <c r="U141" s="191">
        <v>1</v>
      </c>
      <c r="V141" s="280"/>
      <c r="W141" s="7" t="s">
        <v>1491</v>
      </c>
      <c r="X141" s="22" t="s">
        <v>1482</v>
      </c>
      <c r="Y141" s="8"/>
      <c r="Z141" s="7" t="s">
        <v>2155</v>
      </c>
      <c r="AA141" s="47" t="s">
        <v>2124</v>
      </c>
      <c r="AB141" s="47" t="s">
        <v>1603</v>
      </c>
      <c r="AC141" s="47" t="s">
        <v>1923</v>
      </c>
      <c r="AD141" s="47" t="s">
        <v>1920</v>
      </c>
      <c r="AE141" s="47"/>
      <c r="AF141" s="8" t="s">
        <v>2397</v>
      </c>
      <c r="AG141" s="220"/>
    </row>
    <row r="142" spans="1:33" s="129" customFormat="1" ht="17.399999999999999">
      <c r="A142" s="30">
        <f t="shared" si="6"/>
        <v>141</v>
      </c>
      <c r="B142" s="7" t="s">
        <v>1129</v>
      </c>
      <c r="C142" s="16" t="s">
        <v>1130</v>
      </c>
      <c r="D142" s="56" t="s">
        <v>111</v>
      </c>
      <c r="E142" s="33" t="s">
        <v>53</v>
      </c>
      <c r="F142" s="22" t="s">
        <v>83</v>
      </c>
      <c r="G142" s="22" t="s">
        <v>442</v>
      </c>
      <c r="H142" s="78" t="s">
        <v>409</v>
      </c>
      <c r="I142" s="7" t="s">
        <v>677</v>
      </c>
      <c r="J142" s="7" t="s">
        <v>569</v>
      </c>
      <c r="K142" s="88" t="s">
        <v>1131</v>
      </c>
      <c r="L142" s="7" t="s">
        <v>1132</v>
      </c>
      <c r="M142" s="7" t="s">
        <v>56</v>
      </c>
      <c r="N142" s="34">
        <v>45490</v>
      </c>
      <c r="O142" s="24" t="s">
        <v>1133</v>
      </c>
      <c r="P142" s="16" t="s">
        <v>1233</v>
      </c>
      <c r="Q142" s="72" t="s">
        <v>69</v>
      </c>
      <c r="R142" s="94" t="s">
        <v>1123</v>
      </c>
      <c r="S142" s="94" t="s">
        <v>908</v>
      </c>
      <c r="T142" s="22">
        <v>700</v>
      </c>
      <c r="U142" s="22">
        <v>1</v>
      </c>
      <c r="V142" s="264"/>
      <c r="W142" s="7" t="s">
        <v>1491</v>
      </c>
      <c r="X142" s="22" t="s">
        <v>1482</v>
      </c>
      <c r="Y142" s="88"/>
      <c r="Z142" s="7" t="s">
        <v>2150</v>
      </c>
      <c r="AA142" s="47" t="s">
        <v>2099</v>
      </c>
      <c r="AB142" s="47" t="s">
        <v>1602</v>
      </c>
      <c r="AC142" s="47"/>
      <c r="AD142" s="47"/>
      <c r="AE142" s="47"/>
      <c r="AF142" s="8" t="s">
        <v>2351</v>
      </c>
      <c r="AG142" s="8" t="s">
        <v>1501</v>
      </c>
    </row>
    <row r="143" spans="1:33" s="57" customFormat="1" ht="34.799999999999997">
      <c r="A143" s="30">
        <f t="shared" si="6"/>
        <v>142</v>
      </c>
      <c r="B143" s="7" t="s">
        <v>1245</v>
      </c>
      <c r="C143" s="7" t="s">
        <v>1274</v>
      </c>
      <c r="D143" s="56" t="s">
        <v>111</v>
      </c>
      <c r="E143" s="33" t="s">
        <v>53</v>
      </c>
      <c r="F143" s="22" t="s">
        <v>145</v>
      </c>
      <c r="G143" s="22" t="s">
        <v>441</v>
      </c>
      <c r="H143" s="78" t="s">
        <v>882</v>
      </c>
      <c r="I143" s="7" t="s">
        <v>667</v>
      </c>
      <c r="J143" s="7" t="s">
        <v>564</v>
      </c>
      <c r="K143" s="88" t="s">
        <v>1252</v>
      </c>
      <c r="L143" s="7" t="s">
        <v>1251</v>
      </c>
      <c r="M143" s="7" t="s">
        <v>477</v>
      </c>
      <c r="N143" s="34">
        <v>45631</v>
      </c>
      <c r="O143" s="24" t="s">
        <v>1275</v>
      </c>
      <c r="P143" s="16" t="s">
        <v>1273</v>
      </c>
      <c r="Q143" s="72" t="s">
        <v>69</v>
      </c>
      <c r="R143" s="78" t="s">
        <v>882</v>
      </c>
      <c r="S143" s="94" t="s">
        <v>1238</v>
      </c>
      <c r="T143" s="22">
        <v>700</v>
      </c>
      <c r="U143" s="22">
        <v>3</v>
      </c>
      <c r="V143" s="264"/>
      <c r="W143" s="7" t="s">
        <v>1491</v>
      </c>
      <c r="X143" s="22" t="s">
        <v>1482</v>
      </c>
      <c r="Y143" s="88"/>
      <c r="Z143" s="7" t="s">
        <v>2155</v>
      </c>
      <c r="AA143" s="47" t="s">
        <v>2117</v>
      </c>
      <c r="AB143" s="47" t="s">
        <v>1601</v>
      </c>
      <c r="AC143" s="47"/>
      <c r="AD143" s="47"/>
      <c r="AE143" s="357" t="s">
        <v>2503</v>
      </c>
      <c r="AF143" s="96" t="s">
        <v>2391</v>
      </c>
      <c r="AG143" s="8"/>
    </row>
    <row r="144" spans="1:33" s="77" customFormat="1" ht="17.399999999999999">
      <c r="A144" s="30">
        <f t="shared" si="6"/>
        <v>143</v>
      </c>
      <c r="B144" s="7" t="s">
        <v>1073</v>
      </c>
      <c r="C144" s="7" t="s">
        <v>1074</v>
      </c>
      <c r="D144" s="56" t="s">
        <v>424</v>
      </c>
      <c r="E144" s="33" t="s">
        <v>712</v>
      </c>
      <c r="F144" s="22" t="s">
        <v>145</v>
      </c>
      <c r="G144" s="22" t="s">
        <v>441</v>
      </c>
      <c r="H144" s="78" t="s">
        <v>1075</v>
      </c>
      <c r="I144" s="7" t="s">
        <v>575</v>
      </c>
      <c r="J144" s="7" t="s">
        <v>564</v>
      </c>
      <c r="K144" s="88" t="s">
        <v>1076</v>
      </c>
      <c r="L144" s="7" t="s">
        <v>1077</v>
      </c>
      <c r="M144" s="7" t="s">
        <v>251</v>
      </c>
      <c r="N144" s="34">
        <v>45358</v>
      </c>
      <c r="O144" s="24" t="s">
        <v>1079</v>
      </c>
      <c r="P144" s="16" t="s">
        <v>1235</v>
      </c>
      <c r="Q144" s="72" t="s">
        <v>69</v>
      </c>
      <c r="R144" s="94" t="s">
        <v>695</v>
      </c>
      <c r="S144" s="94" t="s">
        <v>695</v>
      </c>
      <c r="T144" s="22">
        <v>700</v>
      </c>
      <c r="U144" s="22">
        <v>2</v>
      </c>
      <c r="V144" s="73" t="s">
        <v>1381</v>
      </c>
      <c r="W144" s="7"/>
      <c r="X144" s="22" t="s">
        <v>1482</v>
      </c>
      <c r="Y144" s="8"/>
      <c r="Z144" s="7" t="s">
        <v>2150</v>
      </c>
      <c r="AA144" s="47" t="s">
        <v>2091</v>
      </c>
      <c r="AB144" s="47" t="s">
        <v>1600</v>
      </c>
      <c r="AC144" s="47"/>
      <c r="AD144" s="47"/>
      <c r="AE144" s="47"/>
      <c r="AF144" s="363" t="s">
        <v>2345</v>
      </c>
      <c r="AG144" s="8"/>
    </row>
    <row r="145" spans="1:89" s="70" customFormat="1" ht="17.399999999999999">
      <c r="A145" s="30">
        <f t="shared" si="6"/>
        <v>144</v>
      </c>
      <c r="B145" s="7" t="s">
        <v>1080</v>
      </c>
      <c r="C145" s="7" t="s">
        <v>1081</v>
      </c>
      <c r="D145" s="56" t="s">
        <v>111</v>
      </c>
      <c r="E145" s="33" t="s">
        <v>53</v>
      </c>
      <c r="F145" s="22" t="s">
        <v>145</v>
      </c>
      <c r="G145" s="22" t="s">
        <v>441</v>
      </c>
      <c r="H145" s="78" t="s">
        <v>1082</v>
      </c>
      <c r="I145" s="7" t="s">
        <v>565</v>
      </c>
      <c r="J145" s="7" t="s">
        <v>565</v>
      </c>
      <c r="K145" s="88" t="s">
        <v>1083</v>
      </c>
      <c r="L145" s="7" t="s">
        <v>1084</v>
      </c>
      <c r="M145" s="7" t="s">
        <v>230</v>
      </c>
      <c r="N145" s="34">
        <v>45373</v>
      </c>
      <c r="O145" s="24" t="s">
        <v>1085</v>
      </c>
      <c r="P145" s="16" t="s">
        <v>1233</v>
      </c>
      <c r="Q145" s="72" t="s">
        <v>69</v>
      </c>
      <c r="R145" s="94" t="s">
        <v>908</v>
      </c>
      <c r="S145" s="94" t="s">
        <v>908</v>
      </c>
      <c r="T145" s="22">
        <v>700</v>
      </c>
      <c r="U145" s="22">
        <v>1</v>
      </c>
      <c r="V145" s="73"/>
      <c r="W145" s="7"/>
      <c r="X145" s="22" t="s">
        <v>1482</v>
      </c>
      <c r="Y145" s="88"/>
      <c r="Z145" s="7" t="s">
        <v>2155</v>
      </c>
      <c r="AA145" s="47" t="s">
        <v>2095</v>
      </c>
      <c r="AB145" s="47" t="s">
        <v>1599</v>
      </c>
      <c r="AC145" s="47"/>
      <c r="AD145" s="47"/>
      <c r="AE145" s="47"/>
      <c r="AF145" s="8" t="s">
        <v>2348</v>
      </c>
      <c r="AG145" s="220"/>
    </row>
    <row r="146" spans="1:89" s="70" customFormat="1" ht="17.399999999999999">
      <c r="A146" s="30">
        <f t="shared" si="6"/>
        <v>145</v>
      </c>
      <c r="B146" s="7" t="s">
        <v>1097</v>
      </c>
      <c r="C146" s="7" t="s">
        <v>1098</v>
      </c>
      <c r="D146" s="56" t="s">
        <v>111</v>
      </c>
      <c r="E146" s="33" t="s">
        <v>53</v>
      </c>
      <c r="F146" s="22" t="s">
        <v>145</v>
      </c>
      <c r="G146" s="22" t="s">
        <v>441</v>
      </c>
      <c r="H146" s="78" t="s">
        <v>408</v>
      </c>
      <c r="I146" s="7" t="s">
        <v>566</v>
      </c>
      <c r="J146" s="7" t="s">
        <v>566</v>
      </c>
      <c r="K146" s="88" t="s">
        <v>1102</v>
      </c>
      <c r="L146" s="7" t="s">
        <v>1101</v>
      </c>
      <c r="M146" s="7" t="s">
        <v>159</v>
      </c>
      <c r="N146" s="34">
        <v>45380</v>
      </c>
      <c r="O146" s="24" t="s">
        <v>1100</v>
      </c>
      <c r="P146" s="16" t="s">
        <v>1233</v>
      </c>
      <c r="Q146" s="72" t="s">
        <v>69</v>
      </c>
      <c r="R146" s="94" t="s">
        <v>903</v>
      </c>
      <c r="S146" s="94" t="s">
        <v>1099</v>
      </c>
      <c r="T146" s="22">
        <v>700</v>
      </c>
      <c r="U146" s="22">
        <v>2</v>
      </c>
      <c r="V146" s="73"/>
      <c r="W146" s="7"/>
      <c r="X146" s="22" t="s">
        <v>1482</v>
      </c>
      <c r="Y146" s="8"/>
      <c r="Z146" s="7" t="s">
        <v>2155</v>
      </c>
      <c r="AA146" s="47" t="s">
        <v>2096</v>
      </c>
      <c r="AB146" s="47" t="s">
        <v>1598</v>
      </c>
      <c r="AC146" s="47"/>
      <c r="AD146" s="47"/>
      <c r="AE146" s="47"/>
      <c r="AF146" s="8" t="s">
        <v>2349</v>
      </c>
      <c r="AG146" s="220"/>
    </row>
    <row r="147" spans="1:89" s="57" customFormat="1" ht="17.399999999999999">
      <c r="A147" s="30">
        <f t="shared" si="6"/>
        <v>146</v>
      </c>
      <c r="B147" s="7" t="s">
        <v>2178</v>
      </c>
      <c r="C147" s="7" t="s">
        <v>1205</v>
      </c>
      <c r="D147" s="56" t="s">
        <v>111</v>
      </c>
      <c r="E147" s="33" t="s">
        <v>53</v>
      </c>
      <c r="F147" s="22" t="s">
        <v>145</v>
      </c>
      <c r="G147" s="22" t="s">
        <v>441</v>
      </c>
      <c r="H147" s="78" t="s">
        <v>1232</v>
      </c>
      <c r="I147" s="7" t="s">
        <v>565</v>
      </c>
      <c r="J147" s="7" t="s">
        <v>565</v>
      </c>
      <c r="K147" s="88" t="s">
        <v>1208</v>
      </c>
      <c r="L147" s="7" t="s">
        <v>1206</v>
      </c>
      <c r="M147" s="7" t="s">
        <v>237</v>
      </c>
      <c r="N147" s="34">
        <v>45625</v>
      </c>
      <c r="O147" s="24" t="s">
        <v>1207</v>
      </c>
      <c r="P147" s="16" t="s">
        <v>1235</v>
      </c>
      <c r="Q147" s="72" t="s">
        <v>69</v>
      </c>
      <c r="R147" s="94" t="s">
        <v>908</v>
      </c>
      <c r="S147" s="94" t="s">
        <v>908</v>
      </c>
      <c r="T147" s="22">
        <v>700</v>
      </c>
      <c r="U147" s="22">
        <v>2</v>
      </c>
      <c r="V147" s="264"/>
      <c r="W147" s="7"/>
      <c r="X147" s="22" t="s">
        <v>1482</v>
      </c>
      <c r="Y147" s="88"/>
      <c r="Z147" s="7" t="s">
        <v>2151</v>
      </c>
      <c r="AA147" s="47" t="s">
        <v>2115</v>
      </c>
      <c r="AB147" s="47" t="s">
        <v>1597</v>
      </c>
      <c r="AC147" s="47"/>
      <c r="AD147" s="47"/>
      <c r="AE147" s="47"/>
      <c r="AF147" s="8" t="s">
        <v>2390</v>
      </c>
      <c r="AG147" s="220"/>
    </row>
    <row r="148" spans="1:89" s="391" customFormat="1" ht="17.399999999999999">
      <c r="A148" s="30">
        <f t="shared" si="6"/>
        <v>147</v>
      </c>
      <c r="B148" s="7" t="s">
        <v>1187</v>
      </c>
      <c r="C148" s="7" t="s">
        <v>1188</v>
      </c>
      <c r="D148" s="56" t="s">
        <v>111</v>
      </c>
      <c r="E148" s="33" t="s">
        <v>53</v>
      </c>
      <c r="F148" s="22" t="s">
        <v>145</v>
      </c>
      <c r="G148" s="22" t="s">
        <v>441</v>
      </c>
      <c r="H148" s="78" t="s">
        <v>1058</v>
      </c>
      <c r="I148" s="7" t="s">
        <v>667</v>
      </c>
      <c r="J148" s="7" t="s">
        <v>564</v>
      </c>
      <c r="K148" s="88" t="s">
        <v>1189</v>
      </c>
      <c r="L148" s="7" t="s">
        <v>1190</v>
      </c>
      <c r="M148" s="7" t="s">
        <v>110</v>
      </c>
      <c r="N148" s="34">
        <v>45595</v>
      </c>
      <c r="O148" s="24" t="s">
        <v>1191</v>
      </c>
      <c r="P148" s="16" t="s">
        <v>1233</v>
      </c>
      <c r="Q148" s="72" t="s">
        <v>69</v>
      </c>
      <c r="R148" s="94" t="s">
        <v>1058</v>
      </c>
      <c r="S148" s="94" t="s">
        <v>119</v>
      </c>
      <c r="T148" s="22">
        <v>700</v>
      </c>
      <c r="U148" s="22">
        <v>3</v>
      </c>
      <c r="V148" s="264"/>
      <c r="W148" s="7" t="s">
        <v>1491</v>
      </c>
      <c r="X148" s="22" t="s">
        <v>1482</v>
      </c>
      <c r="Y148" s="88"/>
      <c r="Z148" s="7" t="s">
        <v>2155</v>
      </c>
      <c r="AA148" s="47" t="s">
        <v>2180</v>
      </c>
      <c r="AB148" s="47" t="s">
        <v>1596</v>
      </c>
      <c r="AC148" s="47"/>
      <c r="AD148" s="47"/>
      <c r="AE148" s="47"/>
      <c r="AF148" s="8" t="s">
        <v>2301</v>
      </c>
      <c r="AG148" s="220"/>
    </row>
    <row r="149" spans="1:89" s="57" customFormat="1" ht="34.799999999999997">
      <c r="A149" s="65">
        <f t="shared" si="6"/>
        <v>148</v>
      </c>
      <c r="B149" s="50" t="s">
        <v>740</v>
      </c>
      <c r="C149" s="50" t="s">
        <v>741</v>
      </c>
      <c r="D149" s="50" t="s">
        <v>111</v>
      </c>
      <c r="E149" s="50" t="s">
        <v>53</v>
      </c>
      <c r="F149" s="50" t="s">
        <v>145</v>
      </c>
      <c r="G149" s="50" t="s">
        <v>441</v>
      </c>
      <c r="H149" s="50" t="s">
        <v>757</v>
      </c>
      <c r="I149" s="66" t="s">
        <v>571</v>
      </c>
      <c r="J149" s="66" t="s">
        <v>571</v>
      </c>
      <c r="K149" s="122" t="s">
        <v>764</v>
      </c>
      <c r="L149" s="67" t="s">
        <v>742</v>
      </c>
      <c r="M149" s="50" t="s">
        <v>242</v>
      </c>
      <c r="N149" s="68">
        <v>44853</v>
      </c>
      <c r="O149" s="68" t="s">
        <v>743</v>
      </c>
      <c r="P149" s="68" t="s">
        <v>1233</v>
      </c>
      <c r="Q149" s="50" t="s">
        <v>69</v>
      </c>
      <c r="R149" s="85" t="s">
        <v>869</v>
      </c>
      <c r="S149" s="65" t="s">
        <v>1238</v>
      </c>
      <c r="T149" s="50">
        <v>700</v>
      </c>
      <c r="U149" s="50">
        <v>1</v>
      </c>
      <c r="V149" s="314" t="s">
        <v>1373</v>
      </c>
      <c r="W149" s="252"/>
      <c r="X149" s="50" t="s">
        <v>1482</v>
      </c>
      <c r="Y149" s="238"/>
      <c r="Z149" s="89" t="s">
        <v>2155</v>
      </c>
      <c r="AA149" s="397" t="s">
        <v>2027</v>
      </c>
      <c r="AB149" s="397" t="s">
        <v>1595</v>
      </c>
      <c r="AC149" s="397" t="s">
        <v>1931</v>
      </c>
      <c r="AD149" s="397" t="s">
        <v>1920</v>
      </c>
      <c r="AE149" s="398" t="s">
        <v>2485</v>
      </c>
      <c r="AF149" s="116" t="s">
        <v>2306</v>
      </c>
      <c r="AG149" s="253" t="s">
        <v>2326</v>
      </c>
    </row>
    <row r="150" spans="1:89" s="70" customFormat="1" ht="31.2">
      <c r="A150" s="30">
        <f t="shared" si="6"/>
        <v>149</v>
      </c>
      <c r="B150" s="78" t="s">
        <v>2174</v>
      </c>
      <c r="C150" s="22" t="s">
        <v>1169</v>
      </c>
      <c r="D150" s="22" t="s">
        <v>111</v>
      </c>
      <c r="E150" s="22" t="s">
        <v>53</v>
      </c>
      <c r="F150" s="22" t="s">
        <v>145</v>
      </c>
      <c r="G150" s="22" t="s">
        <v>441</v>
      </c>
      <c r="H150" s="22" t="s">
        <v>408</v>
      </c>
      <c r="I150" s="51" t="s">
        <v>913</v>
      </c>
      <c r="J150" s="51" t="s">
        <v>913</v>
      </c>
      <c r="K150" s="62" t="s">
        <v>914</v>
      </c>
      <c r="L150" s="52" t="s">
        <v>915</v>
      </c>
      <c r="M150" s="22" t="s">
        <v>916</v>
      </c>
      <c r="N150" s="27">
        <v>45048</v>
      </c>
      <c r="O150" s="27">
        <v>44834</v>
      </c>
      <c r="P150" s="27" t="s">
        <v>1235</v>
      </c>
      <c r="Q150" s="72" t="s">
        <v>69</v>
      </c>
      <c r="R150" s="94" t="s">
        <v>917</v>
      </c>
      <c r="S150" s="94" t="s">
        <v>1238</v>
      </c>
      <c r="T150" s="22">
        <v>700</v>
      </c>
      <c r="U150" s="22">
        <v>2</v>
      </c>
      <c r="V150" s="28"/>
      <c r="W150" s="221"/>
      <c r="X150" s="22" t="s">
        <v>1482</v>
      </c>
      <c r="Y150" s="88"/>
      <c r="Z150" s="7" t="s">
        <v>2151</v>
      </c>
      <c r="AA150" s="47" t="s">
        <v>2053</v>
      </c>
      <c r="AB150" s="47" t="s">
        <v>1594</v>
      </c>
      <c r="AC150" s="47"/>
      <c r="AD150" s="47"/>
      <c r="AE150" s="47"/>
      <c r="AF150" s="8" t="s">
        <v>2364</v>
      </c>
      <c r="AG150" s="220" t="s">
        <v>1869</v>
      </c>
    </row>
    <row r="151" spans="1:89" s="57" customFormat="1" ht="34.799999999999997">
      <c r="A151" s="74">
        <f t="shared" si="6"/>
        <v>150</v>
      </c>
      <c r="B151" s="48" t="s">
        <v>841</v>
      </c>
      <c r="C151" s="48" t="s">
        <v>844</v>
      </c>
      <c r="D151" s="48" t="s">
        <v>111</v>
      </c>
      <c r="E151" s="48" t="s">
        <v>53</v>
      </c>
      <c r="F151" s="48" t="s">
        <v>83</v>
      </c>
      <c r="G151" s="48" t="s">
        <v>442</v>
      </c>
      <c r="H151" s="48" t="s">
        <v>853</v>
      </c>
      <c r="I151" s="86" t="s">
        <v>565</v>
      </c>
      <c r="J151" s="86" t="s">
        <v>565</v>
      </c>
      <c r="K151" s="83" t="s">
        <v>847</v>
      </c>
      <c r="L151" s="80" t="s">
        <v>854</v>
      </c>
      <c r="M151" s="48" t="s">
        <v>116</v>
      </c>
      <c r="N151" s="115">
        <v>45016</v>
      </c>
      <c r="O151" s="115">
        <v>44536</v>
      </c>
      <c r="P151" s="115" t="s">
        <v>1233</v>
      </c>
      <c r="Q151" s="48" t="s">
        <v>69</v>
      </c>
      <c r="R151" s="74" t="s">
        <v>40</v>
      </c>
      <c r="S151" s="74" t="s">
        <v>40</v>
      </c>
      <c r="T151" s="48">
        <v>700</v>
      </c>
      <c r="U151" s="48">
        <v>1</v>
      </c>
      <c r="V151" s="279"/>
      <c r="W151" s="248" t="s">
        <v>1491</v>
      </c>
      <c r="X151" s="48" t="s">
        <v>1482</v>
      </c>
      <c r="Y151" s="125"/>
      <c r="Z151" s="123" t="s">
        <v>2155</v>
      </c>
      <c r="AA151" s="392" t="s">
        <v>2044</v>
      </c>
      <c r="AB151" s="392" t="s">
        <v>1593</v>
      </c>
      <c r="AC151" s="392" t="s">
        <v>1938</v>
      </c>
      <c r="AD151" s="392" t="s">
        <v>1918</v>
      </c>
      <c r="AE151" s="402" t="s">
        <v>2288</v>
      </c>
      <c r="AF151" s="233" t="s">
        <v>2359</v>
      </c>
      <c r="AG151" s="125" t="s">
        <v>1870</v>
      </c>
    </row>
    <row r="152" spans="1:89" s="57" customFormat="1" ht="31.2">
      <c r="A152" s="30">
        <f t="shared" si="6"/>
        <v>151</v>
      </c>
      <c r="B152" s="78" t="s">
        <v>987</v>
      </c>
      <c r="C152" s="22" t="s">
        <v>990</v>
      </c>
      <c r="D152" s="56" t="s">
        <v>111</v>
      </c>
      <c r="E152" s="33" t="s">
        <v>53</v>
      </c>
      <c r="F152" s="22" t="s">
        <v>145</v>
      </c>
      <c r="G152" s="22" t="s">
        <v>441</v>
      </c>
      <c r="H152" s="78" t="s">
        <v>408</v>
      </c>
      <c r="I152" s="51" t="s">
        <v>575</v>
      </c>
      <c r="J152" s="51" t="s">
        <v>564</v>
      </c>
      <c r="K152" s="62" t="s">
        <v>1153</v>
      </c>
      <c r="L152" s="52" t="s">
        <v>999</v>
      </c>
      <c r="M152" s="22" t="s">
        <v>55</v>
      </c>
      <c r="N152" s="27">
        <v>45267</v>
      </c>
      <c r="O152" s="27">
        <v>44894</v>
      </c>
      <c r="P152" s="27" t="s">
        <v>1235</v>
      </c>
      <c r="Q152" s="72" t="s">
        <v>69</v>
      </c>
      <c r="R152" s="94" t="s">
        <v>102</v>
      </c>
      <c r="S152" s="94" t="s">
        <v>1238</v>
      </c>
      <c r="T152" s="22">
        <v>700</v>
      </c>
      <c r="U152" s="22">
        <v>2</v>
      </c>
      <c r="V152" s="73"/>
      <c r="W152" s="221"/>
      <c r="X152" s="22" t="s">
        <v>1482</v>
      </c>
      <c r="Y152" s="88"/>
      <c r="Z152" s="7" t="s">
        <v>2155</v>
      </c>
      <c r="AA152" s="47" t="s">
        <v>2078</v>
      </c>
      <c r="AB152" s="47" t="s">
        <v>1592</v>
      </c>
      <c r="AC152" s="47"/>
      <c r="AD152" s="47"/>
      <c r="AE152" s="47"/>
      <c r="AF152" s="8" t="s">
        <v>2336</v>
      </c>
      <c r="AG152" s="8" t="s">
        <v>1496</v>
      </c>
    </row>
    <row r="153" spans="1:89" s="182" customFormat="1" ht="31.2">
      <c r="A153" s="30">
        <f t="shared" si="6"/>
        <v>152</v>
      </c>
      <c r="B153" s="7" t="s">
        <v>1139</v>
      </c>
      <c r="C153" s="7" t="s">
        <v>1140</v>
      </c>
      <c r="D153" s="56" t="s">
        <v>111</v>
      </c>
      <c r="E153" s="33" t="s">
        <v>53</v>
      </c>
      <c r="F153" s="22" t="s">
        <v>145</v>
      </c>
      <c r="G153" s="22" t="s">
        <v>441</v>
      </c>
      <c r="H153" s="78" t="s">
        <v>409</v>
      </c>
      <c r="I153" s="7" t="s">
        <v>565</v>
      </c>
      <c r="J153" s="7" t="s">
        <v>565</v>
      </c>
      <c r="K153" s="88" t="s">
        <v>1141</v>
      </c>
      <c r="L153" s="7" t="s">
        <v>1142</v>
      </c>
      <c r="M153" s="7" t="s">
        <v>116</v>
      </c>
      <c r="N153" s="34">
        <v>45512</v>
      </c>
      <c r="O153" s="24" t="s">
        <v>1143</v>
      </c>
      <c r="P153" s="16" t="s">
        <v>1233</v>
      </c>
      <c r="Q153" s="72" t="s">
        <v>69</v>
      </c>
      <c r="R153" s="94" t="s">
        <v>106</v>
      </c>
      <c r="S153" s="94" t="s">
        <v>1238</v>
      </c>
      <c r="T153" s="22">
        <v>700</v>
      </c>
      <c r="U153" s="22">
        <v>2</v>
      </c>
      <c r="V153" s="264"/>
      <c r="W153" s="7"/>
      <c r="X153" s="22" t="s">
        <v>1482</v>
      </c>
      <c r="Y153" s="88"/>
      <c r="Z153" s="7" t="s">
        <v>2150</v>
      </c>
      <c r="AA153" s="47" t="s">
        <v>2101</v>
      </c>
      <c r="AB153" s="47" t="s">
        <v>1591</v>
      </c>
      <c r="AC153" s="47"/>
      <c r="AD153" s="47"/>
      <c r="AE153" s="47"/>
      <c r="AF153" s="363" t="s">
        <v>2353</v>
      </c>
      <c r="AG153" s="220"/>
      <c r="AH153" s="77"/>
      <c r="AI153" s="77"/>
      <c r="AJ153" s="77"/>
      <c r="AK153" s="77"/>
      <c r="AL153" s="77"/>
      <c r="AM153" s="77"/>
      <c r="AN153" s="77"/>
      <c r="AO153" s="77"/>
      <c r="AP153" s="77"/>
      <c r="AQ153" s="77"/>
      <c r="AR153" s="77"/>
      <c r="AS153" s="77"/>
      <c r="AT153" s="77"/>
      <c r="AU153" s="77"/>
      <c r="AV153" s="77"/>
      <c r="AW153" s="77"/>
      <c r="AX153" s="77"/>
      <c r="AY153" s="77"/>
      <c r="AZ153" s="77"/>
      <c r="BA153" s="77"/>
      <c r="BB153" s="77"/>
      <c r="BC153" s="77"/>
      <c r="BD153" s="77"/>
      <c r="BE153" s="77"/>
      <c r="BF153" s="77"/>
      <c r="BG153" s="77"/>
      <c r="BH153" s="77"/>
      <c r="BI153" s="77"/>
      <c r="BJ153" s="77"/>
      <c r="BK153" s="77"/>
      <c r="BL153" s="77"/>
      <c r="BM153" s="77"/>
      <c r="BN153" s="77"/>
      <c r="BO153" s="77"/>
      <c r="BP153" s="77"/>
      <c r="BQ153" s="77"/>
      <c r="BR153" s="77"/>
      <c r="BS153" s="77"/>
      <c r="BT153" s="77"/>
      <c r="BU153" s="77"/>
      <c r="BV153" s="77"/>
      <c r="BW153" s="77"/>
      <c r="BX153" s="77"/>
      <c r="BY153" s="77"/>
      <c r="BZ153" s="77"/>
      <c r="CA153" s="77"/>
      <c r="CB153" s="77"/>
      <c r="CC153" s="77"/>
      <c r="CD153" s="77"/>
      <c r="CE153" s="77"/>
      <c r="CF153" s="77"/>
      <c r="CG153" s="77"/>
      <c r="CH153" s="77"/>
      <c r="CI153" s="77"/>
      <c r="CJ153" s="77"/>
      <c r="CK153" s="77"/>
    </row>
    <row r="154" spans="1:89" s="57" customFormat="1" ht="34.799999999999997">
      <c r="A154" s="30">
        <f t="shared" si="6"/>
        <v>153</v>
      </c>
      <c r="B154" s="7" t="s">
        <v>1149</v>
      </c>
      <c r="C154" s="7" t="s">
        <v>1150</v>
      </c>
      <c r="D154" s="56" t="s">
        <v>111</v>
      </c>
      <c r="E154" s="33" t="s">
        <v>53</v>
      </c>
      <c r="F154" s="22" t="s">
        <v>145</v>
      </c>
      <c r="G154" s="22" t="s">
        <v>441</v>
      </c>
      <c r="H154" s="78" t="s">
        <v>779</v>
      </c>
      <c r="I154" s="7" t="s">
        <v>575</v>
      </c>
      <c r="J154" s="7" t="s">
        <v>564</v>
      </c>
      <c r="K154" s="88" t="s">
        <v>1151</v>
      </c>
      <c r="L154" s="7" t="s">
        <v>1152</v>
      </c>
      <c r="M154" s="7" t="s">
        <v>251</v>
      </c>
      <c r="N154" s="34">
        <v>45534</v>
      </c>
      <c r="O154" s="24" t="s">
        <v>1162</v>
      </c>
      <c r="P154" s="16" t="s">
        <v>1235</v>
      </c>
      <c r="Q154" s="72" t="s">
        <v>69</v>
      </c>
      <c r="R154" s="94" t="s">
        <v>408</v>
      </c>
      <c r="S154" s="94" t="s">
        <v>1238</v>
      </c>
      <c r="T154" s="22">
        <v>700</v>
      </c>
      <c r="U154" s="22">
        <v>2</v>
      </c>
      <c r="V154" s="264"/>
      <c r="W154" s="7"/>
      <c r="X154" s="14" t="s">
        <v>1482</v>
      </c>
      <c r="Y154" s="88"/>
      <c r="Z154" s="7" t="s">
        <v>2150</v>
      </c>
      <c r="AA154" s="47" t="s">
        <v>2104</v>
      </c>
      <c r="AB154" s="47" t="s">
        <v>1590</v>
      </c>
      <c r="AC154" s="47" t="s">
        <v>2064</v>
      </c>
      <c r="AD154" s="47" t="s">
        <v>1920</v>
      </c>
      <c r="AE154" s="357" t="s">
        <v>2415</v>
      </c>
      <c r="AF154" s="32" t="s">
        <v>2357</v>
      </c>
      <c r="AG154" s="88" t="s">
        <v>2356</v>
      </c>
    </row>
    <row r="155" spans="1:89" s="182" customFormat="1" ht="31.2">
      <c r="A155" s="30">
        <f t="shared" si="6"/>
        <v>154</v>
      </c>
      <c r="B155" s="78" t="s">
        <v>923</v>
      </c>
      <c r="C155" s="22" t="s">
        <v>920</v>
      </c>
      <c r="D155" s="56" t="s">
        <v>111</v>
      </c>
      <c r="E155" s="33" t="s">
        <v>53</v>
      </c>
      <c r="F155" s="22" t="s">
        <v>145</v>
      </c>
      <c r="G155" s="22" t="s">
        <v>441</v>
      </c>
      <c r="H155" s="78" t="s">
        <v>923</v>
      </c>
      <c r="I155" s="51" t="s">
        <v>566</v>
      </c>
      <c r="J155" s="51" t="s">
        <v>566</v>
      </c>
      <c r="K155" s="62" t="s">
        <v>925</v>
      </c>
      <c r="L155" s="52" t="s">
        <v>924</v>
      </c>
      <c r="M155" s="22" t="s">
        <v>159</v>
      </c>
      <c r="N155" s="27">
        <v>45126</v>
      </c>
      <c r="O155" s="27">
        <v>44875</v>
      </c>
      <c r="P155" s="27" t="s">
        <v>1233</v>
      </c>
      <c r="Q155" s="72" t="s">
        <v>69</v>
      </c>
      <c r="R155" s="94" t="s">
        <v>917</v>
      </c>
      <c r="S155" s="94" t="s">
        <v>1238</v>
      </c>
      <c r="T155" s="22">
        <v>700</v>
      </c>
      <c r="U155" s="22">
        <v>1</v>
      </c>
      <c r="V155" s="73"/>
      <c r="W155" s="221"/>
      <c r="X155" s="22" t="s">
        <v>1482</v>
      </c>
      <c r="Y155" s="88"/>
      <c r="Z155" s="7" t="s">
        <v>2150</v>
      </c>
      <c r="AA155" s="47" t="s">
        <v>2061</v>
      </c>
      <c r="AB155" s="47" t="s">
        <v>1589</v>
      </c>
      <c r="AC155" s="47"/>
      <c r="AD155" s="47"/>
      <c r="AE155" s="47"/>
      <c r="AF155" s="8" t="s">
        <v>2373</v>
      </c>
      <c r="AG155" s="220" t="s">
        <v>2372</v>
      </c>
      <c r="AH155" s="77"/>
      <c r="AI155" s="77"/>
      <c r="AJ155" s="77"/>
      <c r="AK155" s="77"/>
      <c r="AL155" s="77"/>
      <c r="AM155" s="77"/>
      <c r="AN155" s="77"/>
      <c r="AO155" s="77"/>
      <c r="AP155" s="77"/>
      <c r="AQ155" s="77"/>
      <c r="AR155" s="77"/>
      <c r="AS155" s="77"/>
      <c r="AT155" s="77"/>
      <c r="AU155" s="77"/>
      <c r="AV155" s="77"/>
      <c r="AW155" s="77"/>
      <c r="AX155" s="77"/>
      <c r="AY155" s="77"/>
      <c r="AZ155" s="77"/>
      <c r="BA155" s="77"/>
      <c r="BB155" s="77"/>
      <c r="BC155" s="77"/>
      <c r="BD155" s="77"/>
      <c r="BE155" s="77"/>
      <c r="BF155" s="77"/>
      <c r="BG155" s="77"/>
      <c r="BH155" s="77"/>
      <c r="BI155" s="77"/>
      <c r="BJ155" s="77"/>
      <c r="BK155" s="77"/>
      <c r="BL155" s="77"/>
      <c r="BM155" s="77"/>
      <c r="BN155" s="77"/>
      <c r="BO155" s="77"/>
      <c r="BP155" s="77"/>
      <c r="BQ155" s="77"/>
      <c r="BR155" s="77"/>
      <c r="BS155" s="77"/>
      <c r="BT155" s="77"/>
      <c r="BU155" s="77"/>
      <c r="BV155" s="77"/>
      <c r="BW155" s="77"/>
      <c r="BX155" s="77"/>
      <c r="BY155" s="77"/>
      <c r="BZ155" s="77"/>
      <c r="CA155" s="77"/>
      <c r="CB155" s="77"/>
      <c r="CC155" s="77"/>
      <c r="CD155" s="77"/>
      <c r="CE155" s="77"/>
      <c r="CF155" s="77"/>
      <c r="CG155" s="77"/>
      <c r="CH155" s="77"/>
      <c r="CI155" s="77"/>
      <c r="CJ155" s="77"/>
      <c r="CK155" s="77"/>
    </row>
    <row r="156" spans="1:89" s="182" customFormat="1" ht="31.2">
      <c r="A156" s="144">
        <f t="shared" si="6"/>
        <v>155</v>
      </c>
      <c r="B156" s="171" t="s">
        <v>2160</v>
      </c>
      <c r="C156" s="171" t="s">
        <v>336</v>
      </c>
      <c r="D156" s="171" t="s">
        <v>1281</v>
      </c>
      <c r="E156" s="171" t="s">
        <v>113</v>
      </c>
      <c r="F156" s="171" t="s">
        <v>145</v>
      </c>
      <c r="G156" s="171" t="s">
        <v>441</v>
      </c>
      <c r="H156" s="171" t="s">
        <v>406</v>
      </c>
      <c r="I156" s="146" t="str">
        <f>LEFT(K156,2)</f>
        <v>경남</v>
      </c>
      <c r="J156" s="146" t="s">
        <v>564</v>
      </c>
      <c r="K156" s="172" t="s">
        <v>1879</v>
      </c>
      <c r="L156" s="174" t="s">
        <v>322</v>
      </c>
      <c r="M156" s="171" t="s">
        <v>55</v>
      </c>
      <c r="N156" s="184">
        <v>44406</v>
      </c>
      <c r="O156" s="184" t="s">
        <v>935</v>
      </c>
      <c r="P156" s="184" t="s">
        <v>1233</v>
      </c>
      <c r="Q156" s="171" t="s">
        <v>69</v>
      </c>
      <c r="R156" s="187" t="s">
        <v>425</v>
      </c>
      <c r="S156" s="144" t="s">
        <v>1238</v>
      </c>
      <c r="T156" s="171">
        <v>700</v>
      </c>
      <c r="U156" s="214">
        <v>1</v>
      </c>
      <c r="V156" s="187" t="s">
        <v>1356</v>
      </c>
      <c r="W156" s="148"/>
      <c r="X156" s="171" t="s">
        <v>1482</v>
      </c>
      <c r="Y156" s="163"/>
      <c r="Z156" s="148" t="s">
        <v>2151</v>
      </c>
      <c r="AA156" s="261" t="s">
        <v>1636</v>
      </c>
      <c r="AB156" s="261" t="s">
        <v>1588</v>
      </c>
      <c r="AC156" s="261"/>
      <c r="AD156" s="261"/>
      <c r="AE156" s="261"/>
      <c r="AF156" s="215" t="s">
        <v>2259</v>
      </c>
      <c r="AG156" s="175"/>
      <c r="AH156" s="77"/>
      <c r="AI156" s="77"/>
      <c r="AJ156" s="77"/>
      <c r="AK156" s="77"/>
      <c r="AL156" s="77"/>
      <c r="AM156" s="77"/>
      <c r="AN156" s="77"/>
      <c r="AO156" s="77"/>
      <c r="AP156" s="77"/>
      <c r="AQ156" s="77"/>
      <c r="AR156" s="77"/>
      <c r="AS156" s="77"/>
      <c r="AT156" s="77"/>
      <c r="AU156" s="77"/>
      <c r="AV156" s="77"/>
      <c r="AW156" s="77"/>
      <c r="AX156" s="77"/>
      <c r="AY156" s="77"/>
      <c r="AZ156" s="77"/>
      <c r="BA156" s="77"/>
      <c r="BB156" s="77"/>
      <c r="BC156" s="77"/>
      <c r="BD156" s="77"/>
      <c r="BE156" s="77"/>
      <c r="BF156" s="77"/>
      <c r="BG156" s="77"/>
      <c r="BH156" s="77"/>
      <c r="BI156" s="77"/>
      <c r="BJ156" s="77"/>
      <c r="BK156" s="77"/>
      <c r="BL156" s="77"/>
      <c r="BM156" s="77"/>
      <c r="BN156" s="77"/>
      <c r="BO156" s="77"/>
      <c r="BP156" s="77"/>
      <c r="BQ156" s="77"/>
      <c r="BR156" s="77"/>
      <c r="BS156" s="77"/>
      <c r="BT156" s="77"/>
      <c r="BU156" s="77"/>
      <c r="BV156" s="77"/>
      <c r="BW156" s="77"/>
      <c r="BX156" s="77"/>
      <c r="BY156" s="77"/>
      <c r="BZ156" s="77"/>
      <c r="CA156" s="77"/>
      <c r="CB156" s="77"/>
      <c r="CC156" s="77"/>
      <c r="CD156" s="77"/>
      <c r="CE156" s="77"/>
      <c r="CF156" s="77"/>
      <c r="CG156" s="77"/>
      <c r="CH156" s="77"/>
      <c r="CI156" s="77"/>
      <c r="CJ156" s="77"/>
      <c r="CK156" s="77"/>
    </row>
    <row r="157" spans="1:89" s="70" customFormat="1" ht="31.2">
      <c r="A157" s="30">
        <f t="shared" si="6"/>
        <v>156</v>
      </c>
      <c r="B157" s="7" t="s">
        <v>1257</v>
      </c>
      <c r="C157" s="7" t="s">
        <v>1295</v>
      </c>
      <c r="D157" s="56" t="s">
        <v>111</v>
      </c>
      <c r="E157" s="33" t="s">
        <v>53</v>
      </c>
      <c r="F157" s="22" t="s">
        <v>83</v>
      </c>
      <c r="G157" s="22" t="s">
        <v>442</v>
      </c>
      <c r="H157" s="78" t="s">
        <v>409</v>
      </c>
      <c r="I157" s="7" t="s">
        <v>611</v>
      </c>
      <c r="J157" s="7" t="s">
        <v>568</v>
      </c>
      <c r="K157" s="88" t="s">
        <v>1296</v>
      </c>
      <c r="L157" s="7" t="s">
        <v>1293</v>
      </c>
      <c r="M157" s="7" t="s">
        <v>946</v>
      </c>
      <c r="N157" s="192">
        <v>45657</v>
      </c>
      <c r="O157" s="193" t="s">
        <v>1294</v>
      </c>
      <c r="P157" s="198" t="s">
        <v>1273</v>
      </c>
      <c r="Q157" s="72" t="s">
        <v>69</v>
      </c>
      <c r="R157" s="94" t="s">
        <v>139</v>
      </c>
      <c r="S157" s="188" t="s">
        <v>704</v>
      </c>
      <c r="T157" s="191">
        <v>700</v>
      </c>
      <c r="U157" s="191">
        <v>1</v>
      </c>
      <c r="V157" s="280"/>
      <c r="W157" s="7"/>
      <c r="X157" s="22" t="s">
        <v>1482</v>
      </c>
      <c r="Y157" s="88"/>
      <c r="Z157" s="7" t="s">
        <v>2155</v>
      </c>
      <c r="AA157" s="47" t="s">
        <v>2122</v>
      </c>
      <c r="AB157" s="47" t="s">
        <v>1587</v>
      </c>
      <c r="AC157" s="47" t="s">
        <v>2123</v>
      </c>
      <c r="AD157" s="47" t="s">
        <v>1920</v>
      </c>
      <c r="AE157" s="47"/>
      <c r="AF157" s="8" t="s">
        <v>2396</v>
      </c>
      <c r="AG157" s="220"/>
    </row>
    <row r="158" spans="1:89" s="57" customFormat="1" ht="17.399999999999999">
      <c r="A158" s="106">
        <f t="shared" si="6"/>
        <v>157</v>
      </c>
      <c r="B158" s="139" t="s">
        <v>2177</v>
      </c>
      <c r="C158" s="107" t="s">
        <v>991</v>
      </c>
      <c r="D158" s="137" t="s">
        <v>111</v>
      </c>
      <c r="E158" s="138" t="s">
        <v>53</v>
      </c>
      <c r="F158" s="107" t="s">
        <v>145</v>
      </c>
      <c r="G158" s="107" t="s">
        <v>441</v>
      </c>
      <c r="H158" s="139" t="s">
        <v>992</v>
      </c>
      <c r="I158" s="109" t="s">
        <v>571</v>
      </c>
      <c r="J158" s="109" t="s">
        <v>571</v>
      </c>
      <c r="K158" s="110" t="s">
        <v>1004</v>
      </c>
      <c r="L158" s="152" t="s">
        <v>996</v>
      </c>
      <c r="M158" s="107" t="s">
        <v>242</v>
      </c>
      <c r="N158" s="111">
        <v>45282</v>
      </c>
      <c r="O158" s="111">
        <v>44610</v>
      </c>
      <c r="P158" s="111" t="s">
        <v>1233</v>
      </c>
      <c r="Q158" s="143" t="s">
        <v>69</v>
      </c>
      <c r="R158" s="176" t="s">
        <v>903</v>
      </c>
      <c r="S158" s="176" t="s">
        <v>871</v>
      </c>
      <c r="T158" s="107">
        <v>700</v>
      </c>
      <c r="U158" s="107">
        <v>1</v>
      </c>
      <c r="V158" s="274"/>
      <c r="W158" s="275" t="s">
        <v>1491</v>
      </c>
      <c r="X158" s="107" t="s">
        <v>1482</v>
      </c>
      <c r="Y158" s="163"/>
      <c r="Z158" s="148" t="s">
        <v>2151</v>
      </c>
      <c r="AA158" s="261" t="s">
        <v>2080</v>
      </c>
      <c r="AB158" s="261" t="s">
        <v>1586</v>
      </c>
      <c r="AC158" s="261"/>
      <c r="AD158" s="261"/>
      <c r="AE158" s="261"/>
      <c r="AF158" s="215" t="s">
        <v>2338</v>
      </c>
      <c r="AG158" s="276"/>
    </row>
    <row r="159" spans="1:89" s="57" customFormat="1" ht="34.799999999999997">
      <c r="A159" s="30">
        <f t="shared" si="6"/>
        <v>158</v>
      </c>
      <c r="B159" s="7" t="s">
        <v>1253</v>
      </c>
      <c r="C159" s="7" t="s">
        <v>1138</v>
      </c>
      <c r="D159" s="56" t="s">
        <v>111</v>
      </c>
      <c r="E159" s="33" t="s">
        <v>53</v>
      </c>
      <c r="F159" s="22" t="s">
        <v>145</v>
      </c>
      <c r="G159" s="22" t="s">
        <v>441</v>
      </c>
      <c r="H159" s="78" t="s">
        <v>1277</v>
      </c>
      <c r="I159" s="7" t="s">
        <v>565</v>
      </c>
      <c r="J159" s="7" t="s">
        <v>565</v>
      </c>
      <c r="K159" s="88" t="s">
        <v>1278</v>
      </c>
      <c r="L159" s="7" t="s">
        <v>1279</v>
      </c>
      <c r="M159" s="7" t="s">
        <v>116</v>
      </c>
      <c r="N159" s="192">
        <v>45646</v>
      </c>
      <c r="O159" s="193" t="s">
        <v>1276</v>
      </c>
      <c r="P159" s="198" t="s">
        <v>1273</v>
      </c>
      <c r="Q159" s="72" t="s">
        <v>69</v>
      </c>
      <c r="R159" s="94" t="s">
        <v>908</v>
      </c>
      <c r="S159" s="188" t="s">
        <v>908</v>
      </c>
      <c r="T159" s="191">
        <v>700</v>
      </c>
      <c r="U159" s="191">
        <v>2</v>
      </c>
      <c r="V159" s="280"/>
      <c r="W159" s="7"/>
      <c r="X159" s="22" t="s">
        <v>1482</v>
      </c>
      <c r="Y159" s="8"/>
      <c r="Z159" s="7" t="s">
        <v>2155</v>
      </c>
      <c r="AA159" s="47" t="s">
        <v>2118</v>
      </c>
      <c r="AB159" s="47" t="s">
        <v>1585</v>
      </c>
      <c r="AC159" s="47" t="s">
        <v>1919</v>
      </c>
      <c r="AD159" s="47" t="s">
        <v>1920</v>
      </c>
      <c r="AE159" s="357" t="s">
        <v>2398</v>
      </c>
      <c r="AF159" s="8" t="s">
        <v>2482</v>
      </c>
      <c r="AG159" s="220" t="s">
        <v>2393</v>
      </c>
    </row>
    <row r="160" spans="1:89" s="129" customFormat="1" ht="31.2">
      <c r="A160" s="30">
        <f t="shared" si="6"/>
        <v>159</v>
      </c>
      <c r="B160" s="78" t="s">
        <v>735</v>
      </c>
      <c r="C160" s="22" t="s">
        <v>736</v>
      </c>
      <c r="D160" s="22" t="s">
        <v>111</v>
      </c>
      <c r="E160" s="22" t="s">
        <v>53</v>
      </c>
      <c r="F160" s="22" t="s">
        <v>83</v>
      </c>
      <c r="G160" s="22" t="s">
        <v>442</v>
      </c>
      <c r="H160" s="22" t="s">
        <v>737</v>
      </c>
      <c r="I160" s="51" t="s">
        <v>677</v>
      </c>
      <c r="J160" s="51" t="s">
        <v>569</v>
      </c>
      <c r="K160" s="62" t="s">
        <v>738</v>
      </c>
      <c r="L160" s="52" t="s">
        <v>739</v>
      </c>
      <c r="M160" s="22" t="s">
        <v>80</v>
      </c>
      <c r="N160" s="27">
        <v>44841</v>
      </c>
      <c r="O160" s="53">
        <v>44656</v>
      </c>
      <c r="P160" s="53" t="s">
        <v>1233</v>
      </c>
      <c r="Q160" s="22" t="s">
        <v>69</v>
      </c>
      <c r="R160" s="14" t="s">
        <v>869</v>
      </c>
      <c r="S160" s="94" t="s">
        <v>699</v>
      </c>
      <c r="T160" s="22">
        <v>700</v>
      </c>
      <c r="U160" s="22">
        <v>2</v>
      </c>
      <c r="V160" s="52"/>
      <c r="W160" s="221"/>
      <c r="X160" s="22" t="s">
        <v>1482</v>
      </c>
      <c r="Y160" s="88"/>
      <c r="Z160" s="7" t="s">
        <v>2150</v>
      </c>
      <c r="AA160" s="47" t="s">
        <v>2026</v>
      </c>
      <c r="AB160" s="47" t="s">
        <v>1584</v>
      </c>
      <c r="AC160" s="47" t="s">
        <v>1874</v>
      </c>
      <c r="AD160" s="47"/>
      <c r="AE160" s="47"/>
      <c r="AF160" s="32" t="s">
        <v>2305</v>
      </c>
      <c r="AG160" s="222"/>
    </row>
    <row r="161" spans="1:89" s="304" customFormat="1" ht="31.2">
      <c r="A161" s="30">
        <f t="shared" si="6"/>
        <v>160</v>
      </c>
      <c r="B161" s="78" t="s">
        <v>728</v>
      </c>
      <c r="C161" s="22" t="s">
        <v>729</v>
      </c>
      <c r="D161" s="22" t="s">
        <v>111</v>
      </c>
      <c r="E161" s="22" t="s">
        <v>53</v>
      </c>
      <c r="F161" s="22" t="s">
        <v>83</v>
      </c>
      <c r="G161" s="22" t="s">
        <v>442</v>
      </c>
      <c r="H161" s="22" t="s">
        <v>733</v>
      </c>
      <c r="I161" s="51" t="s">
        <v>667</v>
      </c>
      <c r="J161" s="51" t="s">
        <v>564</v>
      </c>
      <c r="K161" s="62" t="s">
        <v>730</v>
      </c>
      <c r="L161" s="52" t="s">
        <v>732</v>
      </c>
      <c r="M161" s="22" t="s">
        <v>731</v>
      </c>
      <c r="N161" s="195">
        <v>44834</v>
      </c>
      <c r="O161" s="196">
        <v>44568</v>
      </c>
      <c r="P161" s="196" t="s">
        <v>1233</v>
      </c>
      <c r="Q161" s="22" t="s">
        <v>69</v>
      </c>
      <c r="R161" s="94" t="s">
        <v>139</v>
      </c>
      <c r="S161" s="188" t="s">
        <v>1241</v>
      </c>
      <c r="T161" s="191">
        <v>700</v>
      </c>
      <c r="U161" s="191">
        <v>2</v>
      </c>
      <c r="V161" s="265" t="s">
        <v>1452</v>
      </c>
      <c r="W161" s="221"/>
      <c r="X161" s="22" t="s">
        <v>1482</v>
      </c>
      <c r="Y161" s="222"/>
      <c r="Z161" s="221" t="s">
        <v>2150</v>
      </c>
      <c r="AA161" s="47" t="s">
        <v>2025</v>
      </c>
      <c r="AB161" s="47" t="s">
        <v>1583</v>
      </c>
      <c r="AC161" s="47" t="s">
        <v>1923</v>
      </c>
      <c r="AD161" s="47" t="s">
        <v>1920</v>
      </c>
      <c r="AE161" s="47"/>
      <c r="AF161" s="8" t="s">
        <v>2304</v>
      </c>
      <c r="AG161" s="220"/>
    </row>
    <row r="162" spans="1:89" s="77" customFormat="1" ht="17.399999999999999">
      <c r="A162" s="30">
        <f t="shared" si="6"/>
        <v>161</v>
      </c>
      <c r="B162" s="7" t="s">
        <v>1244</v>
      </c>
      <c r="C162" s="7" t="s">
        <v>1270</v>
      </c>
      <c r="D162" s="56" t="s">
        <v>111</v>
      </c>
      <c r="E162" s="33" t="s">
        <v>53</v>
      </c>
      <c r="F162" s="22" t="s">
        <v>145</v>
      </c>
      <c r="G162" s="22" t="s">
        <v>441</v>
      </c>
      <c r="H162" s="78" t="s">
        <v>408</v>
      </c>
      <c r="I162" s="7" t="s">
        <v>575</v>
      </c>
      <c r="J162" s="7" t="s">
        <v>564</v>
      </c>
      <c r="K162" s="88" t="s">
        <v>1269</v>
      </c>
      <c r="L162" s="7" t="s">
        <v>1268</v>
      </c>
      <c r="M162" s="7" t="s">
        <v>55</v>
      </c>
      <c r="N162" s="34">
        <v>45628</v>
      </c>
      <c r="O162" s="24" t="s">
        <v>1038</v>
      </c>
      <c r="P162" s="16" t="s">
        <v>1264</v>
      </c>
      <c r="Q162" s="72" t="s">
        <v>69</v>
      </c>
      <c r="R162" s="94" t="s">
        <v>908</v>
      </c>
      <c r="S162" s="94" t="s">
        <v>908</v>
      </c>
      <c r="T162" s="22">
        <v>700</v>
      </c>
      <c r="U162" s="22">
        <v>3</v>
      </c>
      <c r="V162" s="264"/>
      <c r="W162" s="7"/>
      <c r="X162" s="22" t="s">
        <v>1482</v>
      </c>
      <c r="Y162" s="88"/>
      <c r="Z162" s="7" t="s">
        <v>2150</v>
      </c>
      <c r="AA162" s="47" t="s">
        <v>2116</v>
      </c>
      <c r="AB162" s="47" t="s">
        <v>1582</v>
      </c>
      <c r="AC162" s="47"/>
      <c r="AD162" s="47"/>
      <c r="AE162" s="47"/>
      <c r="AF162" s="8" t="s">
        <v>2304</v>
      </c>
      <c r="AG162" s="220"/>
    </row>
    <row r="163" spans="1:89" s="77" customFormat="1" ht="31.2">
      <c r="A163" s="30">
        <f t="shared" si="6"/>
        <v>162</v>
      </c>
      <c r="B163" s="78" t="s">
        <v>702</v>
      </c>
      <c r="C163" s="22" t="s">
        <v>710</v>
      </c>
      <c r="D163" s="22" t="s">
        <v>111</v>
      </c>
      <c r="E163" s="22" t="s">
        <v>53</v>
      </c>
      <c r="F163" s="22" t="s">
        <v>83</v>
      </c>
      <c r="G163" s="22" t="s">
        <v>442</v>
      </c>
      <c r="H163" s="22" t="s">
        <v>409</v>
      </c>
      <c r="I163" s="51" t="s">
        <v>667</v>
      </c>
      <c r="J163" s="51" t="s">
        <v>564</v>
      </c>
      <c r="K163" s="263" t="s">
        <v>703</v>
      </c>
      <c r="L163" s="52" t="s">
        <v>709</v>
      </c>
      <c r="M163" s="22" t="s">
        <v>110</v>
      </c>
      <c r="N163" s="27">
        <v>44803</v>
      </c>
      <c r="O163" s="53">
        <v>44649</v>
      </c>
      <c r="P163" s="53" t="s">
        <v>1233</v>
      </c>
      <c r="Q163" s="22" t="s">
        <v>69</v>
      </c>
      <c r="R163" s="94" t="s">
        <v>139</v>
      </c>
      <c r="S163" s="94" t="s">
        <v>1241</v>
      </c>
      <c r="T163" s="14">
        <v>700</v>
      </c>
      <c r="U163" s="14">
        <v>1</v>
      </c>
      <c r="V163" s="52"/>
      <c r="W163" s="221"/>
      <c r="X163" s="22" t="s">
        <v>1482</v>
      </c>
      <c r="Y163" s="88"/>
      <c r="Z163" s="7" t="s">
        <v>2150</v>
      </c>
      <c r="AA163" s="47" t="s">
        <v>2018</v>
      </c>
      <c r="AB163" s="47" t="s">
        <v>1581</v>
      </c>
      <c r="AC163" s="47"/>
      <c r="AD163" s="47"/>
      <c r="AE163" s="47"/>
      <c r="AF163" s="8" t="s">
        <v>2301</v>
      </c>
      <c r="AG163" s="222"/>
    </row>
    <row r="164" spans="1:89" s="57" customFormat="1" ht="31.2">
      <c r="A164" s="30">
        <f t="shared" si="6"/>
        <v>163</v>
      </c>
      <c r="B164" s="78" t="s">
        <v>995</v>
      </c>
      <c r="C164" s="22" t="s">
        <v>988</v>
      </c>
      <c r="D164" s="56" t="s">
        <v>111</v>
      </c>
      <c r="E164" s="33" t="s">
        <v>53</v>
      </c>
      <c r="F164" s="22" t="s">
        <v>83</v>
      </c>
      <c r="G164" s="22" t="s">
        <v>442</v>
      </c>
      <c r="H164" s="78" t="s">
        <v>993</v>
      </c>
      <c r="I164" s="51" t="s">
        <v>594</v>
      </c>
      <c r="J164" s="51" t="s">
        <v>568</v>
      </c>
      <c r="K164" s="62" t="s">
        <v>1003</v>
      </c>
      <c r="L164" s="52" t="s">
        <v>997</v>
      </c>
      <c r="M164" s="22" t="s">
        <v>134</v>
      </c>
      <c r="N164" s="27">
        <v>45273</v>
      </c>
      <c r="O164" s="27">
        <v>44981</v>
      </c>
      <c r="P164" s="27" t="s">
        <v>1233</v>
      </c>
      <c r="Q164" s="72" t="s">
        <v>69</v>
      </c>
      <c r="R164" s="94" t="s">
        <v>882</v>
      </c>
      <c r="S164" s="94" t="s">
        <v>1238</v>
      </c>
      <c r="T164" s="22">
        <v>700</v>
      </c>
      <c r="U164" s="22">
        <v>2</v>
      </c>
      <c r="V164" s="73"/>
      <c r="W164" s="221"/>
      <c r="X164" s="22" t="s">
        <v>1482</v>
      </c>
      <c r="Y164" s="88"/>
      <c r="Z164" s="7" t="s">
        <v>2155</v>
      </c>
      <c r="AA164" s="47" t="s">
        <v>2079</v>
      </c>
      <c r="AB164" s="47" t="s">
        <v>1580</v>
      </c>
      <c r="AC164" s="47" t="s">
        <v>1923</v>
      </c>
      <c r="AD164" s="47" t="s">
        <v>1920</v>
      </c>
      <c r="AE164" s="47"/>
      <c r="AF164" s="8" t="s">
        <v>2337</v>
      </c>
      <c r="AG164" s="222" t="s">
        <v>1497</v>
      </c>
    </row>
    <row r="165" spans="1:89" s="182" customFormat="1" ht="17.399999999999999">
      <c r="A165" s="30">
        <f t="shared" si="6"/>
        <v>164</v>
      </c>
      <c r="B165" s="78" t="s">
        <v>2181</v>
      </c>
      <c r="C165" s="22" t="s">
        <v>719</v>
      </c>
      <c r="D165" s="22" t="s">
        <v>111</v>
      </c>
      <c r="E165" s="22" t="s">
        <v>53</v>
      </c>
      <c r="F165" s="22" t="s">
        <v>145</v>
      </c>
      <c r="G165" s="22" t="s">
        <v>441</v>
      </c>
      <c r="H165" s="22" t="s">
        <v>756</v>
      </c>
      <c r="I165" s="51" t="s">
        <v>594</v>
      </c>
      <c r="J165" s="51" t="s">
        <v>568</v>
      </c>
      <c r="K165" s="62" t="s">
        <v>724</v>
      </c>
      <c r="L165" s="52" t="s">
        <v>723</v>
      </c>
      <c r="M165" s="22" t="s">
        <v>134</v>
      </c>
      <c r="N165" s="27">
        <v>44826</v>
      </c>
      <c r="O165" s="27">
        <v>44567</v>
      </c>
      <c r="P165" s="27" t="s">
        <v>1233</v>
      </c>
      <c r="Q165" s="22" t="s">
        <v>69</v>
      </c>
      <c r="R165" s="14" t="s">
        <v>872</v>
      </c>
      <c r="S165" s="14" t="s">
        <v>872</v>
      </c>
      <c r="T165" s="22">
        <v>700</v>
      </c>
      <c r="U165" s="22">
        <v>1</v>
      </c>
      <c r="V165" s="264"/>
      <c r="W165" s="221"/>
      <c r="X165" s="22" t="s">
        <v>1482</v>
      </c>
      <c r="Y165" s="88"/>
      <c r="Z165" s="7" t="s">
        <v>2151</v>
      </c>
      <c r="AA165" s="47" t="s">
        <v>2024</v>
      </c>
      <c r="AB165" s="47" t="s">
        <v>1579</v>
      </c>
      <c r="AC165" s="47"/>
      <c r="AD165" s="47"/>
      <c r="AE165" s="47"/>
      <c r="AF165" s="233" t="s">
        <v>2303</v>
      </c>
      <c r="AG165" s="220"/>
      <c r="AH165" s="77"/>
      <c r="AI165" s="77"/>
      <c r="AJ165" s="77"/>
      <c r="AK165" s="77"/>
      <c r="AL165" s="77"/>
      <c r="AM165" s="77"/>
      <c r="AN165" s="77"/>
      <c r="AO165" s="77"/>
      <c r="AP165" s="77"/>
      <c r="AQ165" s="77"/>
      <c r="AR165" s="77"/>
      <c r="AS165" s="77"/>
      <c r="AT165" s="77"/>
      <c r="AU165" s="77"/>
      <c r="AV165" s="77"/>
      <c r="AW165" s="77"/>
      <c r="AX165" s="77"/>
      <c r="AY165" s="77"/>
      <c r="AZ165" s="77"/>
      <c r="BA165" s="77"/>
      <c r="BB165" s="77"/>
      <c r="BC165" s="77"/>
      <c r="BD165" s="77"/>
      <c r="BE165" s="77"/>
      <c r="BF165" s="77"/>
      <c r="BG165" s="77"/>
      <c r="BH165" s="77"/>
      <c r="BI165" s="77"/>
      <c r="BJ165" s="77"/>
      <c r="BK165" s="77"/>
      <c r="BL165" s="77"/>
      <c r="BM165" s="77"/>
      <c r="BN165" s="77"/>
      <c r="BO165" s="77"/>
      <c r="BP165" s="77"/>
      <c r="BQ165" s="77"/>
      <c r="BR165" s="77"/>
      <c r="BS165" s="77"/>
      <c r="BT165" s="77"/>
      <c r="BU165" s="77"/>
      <c r="BV165" s="77"/>
      <c r="BW165" s="77"/>
      <c r="BX165" s="77"/>
      <c r="BY165" s="77"/>
      <c r="BZ165" s="77"/>
      <c r="CA165" s="77"/>
      <c r="CB165" s="77"/>
      <c r="CC165" s="77"/>
      <c r="CD165" s="77"/>
      <c r="CE165" s="77"/>
      <c r="CF165" s="77"/>
      <c r="CG165" s="77"/>
      <c r="CH165" s="77"/>
      <c r="CI165" s="77"/>
      <c r="CJ165" s="77"/>
      <c r="CK165" s="77"/>
    </row>
    <row r="166" spans="1:89" s="57" customFormat="1" ht="31.2">
      <c r="A166" s="30">
        <f t="shared" si="6"/>
        <v>165</v>
      </c>
      <c r="B166" s="7" t="s">
        <v>2182</v>
      </c>
      <c r="C166" s="7" t="s">
        <v>1512</v>
      </c>
      <c r="D166" s="56" t="s">
        <v>424</v>
      </c>
      <c r="E166" s="33" t="s">
        <v>1513</v>
      </c>
      <c r="F166" s="22" t="s">
        <v>145</v>
      </c>
      <c r="G166" s="22" t="s">
        <v>441</v>
      </c>
      <c r="H166" s="78" t="s">
        <v>1514</v>
      </c>
      <c r="I166" s="7" t="s">
        <v>606</v>
      </c>
      <c r="J166" s="7" t="s">
        <v>569</v>
      </c>
      <c r="K166" s="88" t="s">
        <v>1515</v>
      </c>
      <c r="L166" s="7" t="s">
        <v>1516</v>
      </c>
      <c r="M166" s="7" t="s">
        <v>125</v>
      </c>
      <c r="N166" s="192">
        <v>45992</v>
      </c>
      <c r="O166" s="193" t="s">
        <v>1517</v>
      </c>
      <c r="P166" s="198" t="s">
        <v>1235</v>
      </c>
      <c r="Q166" s="72" t="s">
        <v>69</v>
      </c>
      <c r="R166" s="94" t="s">
        <v>1518</v>
      </c>
      <c r="S166" s="188" t="s">
        <v>1099</v>
      </c>
      <c r="T166" s="191">
        <v>700</v>
      </c>
      <c r="U166" s="191">
        <v>2</v>
      </c>
      <c r="V166" s="288"/>
      <c r="W166" s="220"/>
      <c r="X166" s="14" t="s">
        <v>1554</v>
      </c>
      <c r="Y166" s="220"/>
      <c r="Z166" s="14" t="s">
        <v>2151</v>
      </c>
      <c r="AA166" s="47" t="s">
        <v>2131</v>
      </c>
      <c r="AB166" s="47" t="s">
        <v>1578</v>
      </c>
      <c r="AC166" s="47" t="s">
        <v>2132</v>
      </c>
      <c r="AD166" s="47" t="s">
        <v>1926</v>
      </c>
      <c r="AE166" s="47"/>
      <c r="AF166" s="284" t="s">
        <v>2403</v>
      </c>
      <c r="AG166" s="88" t="s">
        <v>2243</v>
      </c>
    </row>
    <row r="167" spans="1:89" s="77" customFormat="1" ht="17.399999999999999">
      <c r="A167" s="30">
        <f t="shared" si="6"/>
        <v>166</v>
      </c>
      <c r="B167" s="7" t="s">
        <v>1524</v>
      </c>
      <c r="C167" s="7" t="s">
        <v>1525</v>
      </c>
      <c r="D167" s="56" t="s">
        <v>112</v>
      </c>
      <c r="E167" s="33" t="s">
        <v>1526</v>
      </c>
      <c r="F167" s="22" t="s">
        <v>145</v>
      </c>
      <c r="G167" s="22" t="s">
        <v>441</v>
      </c>
      <c r="H167" s="78" t="s">
        <v>1527</v>
      </c>
      <c r="I167" s="7" t="s">
        <v>575</v>
      </c>
      <c r="J167" s="7" t="s">
        <v>564</v>
      </c>
      <c r="K167" s="88" t="s">
        <v>1528</v>
      </c>
      <c r="L167" s="7" t="s">
        <v>1529</v>
      </c>
      <c r="M167" s="7" t="s">
        <v>55</v>
      </c>
      <c r="N167" s="34">
        <v>45993</v>
      </c>
      <c r="O167" s="24">
        <v>45384</v>
      </c>
      <c r="P167" s="16" t="s">
        <v>1273</v>
      </c>
      <c r="Q167" s="60" t="s">
        <v>114</v>
      </c>
      <c r="R167" s="94" t="s">
        <v>1530</v>
      </c>
      <c r="S167" s="94" t="s">
        <v>423</v>
      </c>
      <c r="T167" s="22">
        <v>700</v>
      </c>
      <c r="U167" s="22">
        <v>1</v>
      </c>
      <c r="V167" s="273"/>
      <c r="W167" s="220"/>
      <c r="X167" s="14" t="s">
        <v>1554</v>
      </c>
      <c r="Y167" s="220"/>
      <c r="Z167" s="14" t="s">
        <v>2150</v>
      </c>
      <c r="AA167" s="47"/>
      <c r="AB167" s="47" t="s">
        <v>1577</v>
      </c>
      <c r="AC167" s="47"/>
      <c r="AD167" s="47"/>
      <c r="AE167" s="47"/>
      <c r="AF167" s="220" t="s">
        <v>2404</v>
      </c>
      <c r="AG167" s="220"/>
    </row>
    <row r="168" spans="1:89" s="57" customFormat="1" ht="17.399999999999999">
      <c r="A168" s="30">
        <f t="shared" si="6"/>
        <v>167</v>
      </c>
      <c r="B168" s="7" t="s">
        <v>1317</v>
      </c>
      <c r="C168" s="7" t="s">
        <v>1320</v>
      </c>
      <c r="D168" s="56" t="s">
        <v>111</v>
      </c>
      <c r="E168" s="33" t="s">
        <v>53</v>
      </c>
      <c r="F168" s="22" t="s">
        <v>145</v>
      </c>
      <c r="G168" s="22" t="s">
        <v>442</v>
      </c>
      <c r="H168" s="78" t="s">
        <v>408</v>
      </c>
      <c r="I168" s="7" t="s">
        <v>575</v>
      </c>
      <c r="J168" s="7" t="s">
        <v>564</v>
      </c>
      <c r="K168" s="88" t="s">
        <v>1321</v>
      </c>
      <c r="L168" s="7" t="s">
        <v>1322</v>
      </c>
      <c r="M168" s="7" t="s">
        <v>251</v>
      </c>
      <c r="N168" s="34">
        <v>45723</v>
      </c>
      <c r="O168" s="24">
        <v>45279</v>
      </c>
      <c r="P168" s="16" t="s">
        <v>1264</v>
      </c>
      <c r="Q168" s="72" t="s">
        <v>69</v>
      </c>
      <c r="R168" s="94" t="s">
        <v>908</v>
      </c>
      <c r="S168" s="94" t="s">
        <v>908</v>
      </c>
      <c r="T168" s="22">
        <v>700</v>
      </c>
      <c r="U168" s="22">
        <v>2</v>
      </c>
      <c r="V168" s="264"/>
      <c r="W168" s="220"/>
      <c r="X168" s="14" t="s">
        <v>1504</v>
      </c>
      <c r="Y168" s="220"/>
      <c r="Z168" s="14" t="s">
        <v>2155</v>
      </c>
      <c r="AA168" s="47"/>
      <c r="AB168" s="47" t="s">
        <v>1576</v>
      </c>
      <c r="AC168" s="47"/>
      <c r="AD168" s="47"/>
      <c r="AE168" s="47"/>
      <c r="AF168" s="220" t="s">
        <v>2265</v>
      </c>
      <c r="AG168" s="220"/>
    </row>
    <row r="169" spans="1:89" s="57" customFormat="1" ht="31.2">
      <c r="A169" s="144">
        <f t="shared" si="6"/>
        <v>168</v>
      </c>
      <c r="B169" s="148" t="s">
        <v>2183</v>
      </c>
      <c r="C169" s="131" t="s">
        <v>1454</v>
      </c>
      <c r="D169" s="137" t="s">
        <v>111</v>
      </c>
      <c r="E169" s="138" t="s">
        <v>53</v>
      </c>
      <c r="F169" s="107" t="s">
        <v>222</v>
      </c>
      <c r="G169" s="107" t="s">
        <v>441</v>
      </c>
      <c r="H169" s="171" t="s">
        <v>1455</v>
      </c>
      <c r="I169" s="131" t="s">
        <v>565</v>
      </c>
      <c r="J169" s="131" t="s">
        <v>565</v>
      </c>
      <c r="K169" s="163" t="s">
        <v>1456</v>
      </c>
      <c r="L169" s="148" t="s">
        <v>1457</v>
      </c>
      <c r="M169" s="148" t="s">
        <v>116</v>
      </c>
      <c r="N169" s="140">
        <v>45967</v>
      </c>
      <c r="O169" s="141" t="s">
        <v>1458</v>
      </c>
      <c r="P169" s="142" t="s">
        <v>1264</v>
      </c>
      <c r="Q169" s="171" t="s">
        <v>69</v>
      </c>
      <c r="R169" s="144" t="s">
        <v>908</v>
      </c>
      <c r="S169" s="176" t="s">
        <v>908</v>
      </c>
      <c r="T169" s="107">
        <v>700</v>
      </c>
      <c r="U169" s="107">
        <v>3</v>
      </c>
      <c r="V169" s="286" t="s">
        <v>1372</v>
      </c>
      <c r="W169" s="175"/>
      <c r="X169" s="162" t="s">
        <v>1504</v>
      </c>
      <c r="Y169" s="175"/>
      <c r="Z169" s="162" t="s">
        <v>2151</v>
      </c>
      <c r="AA169" s="254"/>
      <c r="AB169" s="254" t="s">
        <v>1575</v>
      </c>
      <c r="AC169" s="261"/>
      <c r="AD169" s="261"/>
      <c r="AE169" s="261"/>
      <c r="AF169" s="163"/>
      <c r="AG169" s="175" t="s">
        <v>1505</v>
      </c>
    </row>
    <row r="170" spans="1:89" s="57" customFormat="1" ht="31.2">
      <c r="A170" s="30">
        <f t="shared" si="6"/>
        <v>169</v>
      </c>
      <c r="B170" s="7" t="s">
        <v>2184</v>
      </c>
      <c r="C170" s="7" t="s">
        <v>1444</v>
      </c>
      <c r="D170" s="56" t="s">
        <v>111</v>
      </c>
      <c r="E170" s="33" t="s">
        <v>53</v>
      </c>
      <c r="F170" s="22" t="s">
        <v>145</v>
      </c>
      <c r="G170" s="22" t="s">
        <v>441</v>
      </c>
      <c r="H170" s="78" t="s">
        <v>1445</v>
      </c>
      <c r="I170" s="7" t="s">
        <v>572</v>
      </c>
      <c r="J170" s="7" t="s">
        <v>568</v>
      </c>
      <c r="K170" s="88" t="s">
        <v>1446</v>
      </c>
      <c r="L170" s="7" t="s">
        <v>1447</v>
      </c>
      <c r="M170" s="7" t="s">
        <v>86</v>
      </c>
      <c r="N170" s="34">
        <v>45919</v>
      </c>
      <c r="O170" s="24">
        <v>45609</v>
      </c>
      <c r="P170" s="16" t="s">
        <v>1273</v>
      </c>
      <c r="Q170" s="72" t="s">
        <v>69</v>
      </c>
      <c r="R170" s="94" t="s">
        <v>882</v>
      </c>
      <c r="S170" s="94" t="s">
        <v>1426</v>
      </c>
      <c r="T170" s="22">
        <v>700</v>
      </c>
      <c r="U170" s="22">
        <v>3</v>
      </c>
      <c r="V170" s="283" t="s">
        <v>1372</v>
      </c>
      <c r="W170" s="220"/>
      <c r="X170" s="14" t="s">
        <v>1504</v>
      </c>
      <c r="Y170" s="220"/>
      <c r="Z170" s="14" t="s">
        <v>2151</v>
      </c>
      <c r="AA170" s="47" t="s">
        <v>2130</v>
      </c>
      <c r="AB170" s="47" t="s">
        <v>1574</v>
      </c>
      <c r="AC170" s="47" t="s">
        <v>1952</v>
      </c>
      <c r="AD170" s="47" t="s">
        <v>1920</v>
      </c>
      <c r="AE170" s="47"/>
      <c r="AF170" s="284" t="s">
        <v>2402</v>
      </c>
      <c r="AG170" s="88" t="s">
        <v>2397</v>
      </c>
    </row>
    <row r="171" spans="1:89" s="57" customFormat="1" ht="17.399999999999999">
      <c r="A171" s="30">
        <f t="shared" si="6"/>
        <v>170</v>
      </c>
      <c r="B171" s="7" t="s">
        <v>1199</v>
      </c>
      <c r="C171" s="7" t="s">
        <v>1210</v>
      </c>
      <c r="D171" s="56" t="s">
        <v>111</v>
      </c>
      <c r="E171" s="33" t="s">
        <v>53</v>
      </c>
      <c r="F171" s="22" t="s">
        <v>145</v>
      </c>
      <c r="G171" s="22" t="s">
        <v>441</v>
      </c>
      <c r="H171" s="78" t="s">
        <v>409</v>
      </c>
      <c r="I171" s="7" t="s">
        <v>565</v>
      </c>
      <c r="J171" s="7" t="s">
        <v>565</v>
      </c>
      <c r="K171" s="88" t="s">
        <v>1211</v>
      </c>
      <c r="L171" s="7" t="s">
        <v>1209</v>
      </c>
      <c r="M171" s="7" t="s">
        <v>116</v>
      </c>
      <c r="N171" s="34">
        <v>45624</v>
      </c>
      <c r="O171" s="24" t="s">
        <v>1066</v>
      </c>
      <c r="P171" s="16" t="s">
        <v>1233</v>
      </c>
      <c r="Q171" s="72" t="s">
        <v>69</v>
      </c>
      <c r="R171" s="94" t="s">
        <v>106</v>
      </c>
      <c r="S171" s="94" t="s">
        <v>1242</v>
      </c>
      <c r="T171" s="22">
        <v>700</v>
      </c>
      <c r="U171" s="22">
        <v>1</v>
      </c>
      <c r="V171" s="264" t="s">
        <v>1372</v>
      </c>
      <c r="W171" s="7"/>
      <c r="X171" s="22" t="s">
        <v>1482</v>
      </c>
      <c r="Y171" s="88"/>
      <c r="Z171" s="7" t="s">
        <v>2155</v>
      </c>
      <c r="AA171" s="47" t="s">
        <v>2114</v>
      </c>
      <c r="AB171" s="47" t="s">
        <v>1573</v>
      </c>
      <c r="AC171" s="47"/>
      <c r="AD171" s="47"/>
      <c r="AE171" s="47"/>
      <c r="AF171" s="8" t="s">
        <v>2389</v>
      </c>
      <c r="AG171" s="220"/>
    </row>
    <row r="172" spans="1:89" s="57" customFormat="1" ht="31.2">
      <c r="A172" s="30">
        <f t="shared" si="6"/>
        <v>171</v>
      </c>
      <c r="B172" s="7" t="s">
        <v>1843</v>
      </c>
      <c r="C172" s="16" t="s">
        <v>1844</v>
      </c>
      <c r="D172" s="33" t="s">
        <v>111</v>
      </c>
      <c r="E172" s="33" t="s">
        <v>53</v>
      </c>
      <c r="F172" s="22" t="s">
        <v>145</v>
      </c>
      <c r="G172" s="22" t="s">
        <v>441</v>
      </c>
      <c r="H172" s="78" t="s">
        <v>398</v>
      </c>
      <c r="I172" s="7" t="s">
        <v>565</v>
      </c>
      <c r="J172" s="7" t="s">
        <v>565</v>
      </c>
      <c r="K172" s="88" t="s">
        <v>1845</v>
      </c>
      <c r="L172" s="7" t="s">
        <v>1846</v>
      </c>
      <c r="M172" s="7" t="s">
        <v>230</v>
      </c>
      <c r="N172" s="192">
        <v>45735</v>
      </c>
      <c r="O172" s="193" t="s">
        <v>1847</v>
      </c>
      <c r="P172" s="198" t="s">
        <v>1273</v>
      </c>
      <c r="Q172" s="72" t="s">
        <v>69</v>
      </c>
      <c r="R172" s="290" t="s">
        <v>1123</v>
      </c>
      <c r="S172" s="289" t="s">
        <v>1848</v>
      </c>
      <c r="T172" s="191">
        <v>700</v>
      </c>
      <c r="U172" s="191">
        <v>1</v>
      </c>
      <c r="V172" s="282" t="s">
        <v>1372</v>
      </c>
      <c r="W172" s="220"/>
      <c r="X172" s="14" t="s">
        <v>1482</v>
      </c>
      <c r="Y172" s="220"/>
      <c r="Z172" s="14" t="s">
        <v>2155</v>
      </c>
      <c r="AA172" s="47"/>
      <c r="AB172" s="47" t="s">
        <v>1572</v>
      </c>
      <c r="AC172" s="47" t="s">
        <v>1919</v>
      </c>
      <c r="AD172" s="47" t="s">
        <v>1920</v>
      </c>
      <c r="AE172" s="47"/>
      <c r="AF172" s="220" t="s">
        <v>2412</v>
      </c>
      <c r="AG172" s="220"/>
    </row>
    <row r="173" spans="1:89" s="57" customFormat="1" ht="31.2">
      <c r="A173" s="30">
        <f t="shared" si="6"/>
        <v>172</v>
      </c>
      <c r="B173" s="7" t="s">
        <v>1536</v>
      </c>
      <c r="C173" s="7" t="s">
        <v>1537</v>
      </c>
      <c r="D173" s="56" t="s">
        <v>111</v>
      </c>
      <c r="E173" s="33" t="s">
        <v>53</v>
      </c>
      <c r="F173" s="22" t="s">
        <v>83</v>
      </c>
      <c r="G173" s="22" t="s">
        <v>442</v>
      </c>
      <c r="H173" s="78" t="s">
        <v>1538</v>
      </c>
      <c r="I173" s="7" t="s">
        <v>566</v>
      </c>
      <c r="J173" s="7" t="s">
        <v>566</v>
      </c>
      <c r="K173" s="88" t="s">
        <v>1539</v>
      </c>
      <c r="L173" s="7" t="s">
        <v>1540</v>
      </c>
      <c r="M173" s="7" t="s">
        <v>131</v>
      </c>
      <c r="N173" s="192">
        <v>46003</v>
      </c>
      <c r="O173" s="193">
        <v>45875</v>
      </c>
      <c r="P173" s="198" t="s">
        <v>1273</v>
      </c>
      <c r="Q173" s="72" t="s">
        <v>69</v>
      </c>
      <c r="R173" s="94" t="s">
        <v>699</v>
      </c>
      <c r="S173" s="188" t="s">
        <v>1426</v>
      </c>
      <c r="T173" s="191">
        <v>700</v>
      </c>
      <c r="U173" s="191">
        <v>1</v>
      </c>
      <c r="V173" s="288"/>
      <c r="W173" s="220"/>
      <c r="X173" s="14" t="s">
        <v>1554</v>
      </c>
      <c r="Y173" s="220"/>
      <c r="Z173" s="14" t="s">
        <v>2150</v>
      </c>
      <c r="AA173" s="47"/>
      <c r="AB173" s="47" t="s">
        <v>1571</v>
      </c>
      <c r="AC173" s="47" t="s">
        <v>1923</v>
      </c>
      <c r="AD173" s="47" t="s">
        <v>1920</v>
      </c>
      <c r="AE173" s="47"/>
      <c r="AF173" s="220" t="s">
        <v>2405</v>
      </c>
      <c r="AG173" s="220"/>
    </row>
    <row r="174" spans="1:89" s="129" customFormat="1" ht="31.2">
      <c r="A174" s="30">
        <f t="shared" si="6"/>
        <v>173</v>
      </c>
      <c r="B174" s="7" t="s">
        <v>2185</v>
      </c>
      <c r="C174" s="7" t="s">
        <v>1550</v>
      </c>
      <c r="D174" s="56" t="s">
        <v>111</v>
      </c>
      <c r="E174" s="33" t="s">
        <v>53</v>
      </c>
      <c r="F174" s="22" t="s">
        <v>83</v>
      </c>
      <c r="G174" s="22" t="s">
        <v>442</v>
      </c>
      <c r="H174" s="78" t="s">
        <v>882</v>
      </c>
      <c r="I174" s="7" t="s">
        <v>565</v>
      </c>
      <c r="J174" s="7" t="s">
        <v>565</v>
      </c>
      <c r="K174" s="88" t="s">
        <v>1551</v>
      </c>
      <c r="L174" s="7" t="s">
        <v>1552</v>
      </c>
      <c r="M174" s="7" t="s">
        <v>230</v>
      </c>
      <c r="N174" s="192">
        <v>46013</v>
      </c>
      <c r="O174" s="193" t="s">
        <v>1553</v>
      </c>
      <c r="P174" s="198" t="s">
        <v>1264</v>
      </c>
      <c r="Q174" s="72" t="s">
        <v>69</v>
      </c>
      <c r="R174" s="94" t="s">
        <v>882</v>
      </c>
      <c r="S174" s="188" t="s">
        <v>1426</v>
      </c>
      <c r="T174" s="191">
        <v>700</v>
      </c>
      <c r="U174" s="191">
        <v>3</v>
      </c>
      <c r="V174" s="288"/>
      <c r="W174" s="220"/>
      <c r="X174" s="14" t="s">
        <v>1554</v>
      </c>
      <c r="Y174" s="220"/>
      <c r="Z174" s="14" t="s">
        <v>2150</v>
      </c>
      <c r="AA174" s="47"/>
      <c r="AB174" s="47" t="s">
        <v>1570</v>
      </c>
      <c r="AC174" s="47" t="s">
        <v>1952</v>
      </c>
      <c r="AD174" s="47" t="s">
        <v>1920</v>
      </c>
      <c r="AE174" s="47"/>
      <c r="AF174" s="220" t="s">
        <v>2408</v>
      </c>
      <c r="AG174" s="220"/>
    </row>
    <row r="175" spans="1:89" s="57" customFormat="1" ht="31.2">
      <c r="A175" s="30">
        <f t="shared" si="6"/>
        <v>174</v>
      </c>
      <c r="B175" s="7" t="s">
        <v>1254</v>
      </c>
      <c r="C175" s="7" t="s">
        <v>1286</v>
      </c>
      <c r="D175" s="56" t="s">
        <v>111</v>
      </c>
      <c r="E175" s="33" t="s">
        <v>53</v>
      </c>
      <c r="F175" s="22" t="s">
        <v>136</v>
      </c>
      <c r="G175" s="22" t="s">
        <v>441</v>
      </c>
      <c r="H175" s="78" t="s">
        <v>409</v>
      </c>
      <c r="I175" s="7" t="s">
        <v>667</v>
      </c>
      <c r="J175" s="7" t="s">
        <v>564</v>
      </c>
      <c r="K175" s="88" t="s">
        <v>1287</v>
      </c>
      <c r="L175" s="7" t="s">
        <v>1285</v>
      </c>
      <c r="M175" s="7" t="s">
        <v>110</v>
      </c>
      <c r="N175" s="192">
        <v>45653</v>
      </c>
      <c r="O175" s="193" t="s">
        <v>1288</v>
      </c>
      <c r="P175" s="198" t="s">
        <v>1273</v>
      </c>
      <c r="Q175" s="72" t="s">
        <v>69</v>
      </c>
      <c r="R175" s="94" t="s">
        <v>882</v>
      </c>
      <c r="S175" s="188" t="s">
        <v>1238</v>
      </c>
      <c r="T175" s="191">
        <v>700</v>
      </c>
      <c r="U175" s="191">
        <v>1</v>
      </c>
      <c r="V175" s="280"/>
      <c r="W175" s="7" t="s">
        <v>1491</v>
      </c>
      <c r="X175" s="22" t="s">
        <v>1482</v>
      </c>
      <c r="Y175" s="88"/>
      <c r="Z175" s="7" t="s">
        <v>2150</v>
      </c>
      <c r="AA175" s="47" t="s">
        <v>2121</v>
      </c>
      <c r="AB175" s="47" t="s">
        <v>1569</v>
      </c>
      <c r="AC175" s="47" t="s">
        <v>1952</v>
      </c>
      <c r="AD175" s="47" t="s">
        <v>1920</v>
      </c>
      <c r="AE175" s="47"/>
      <c r="AF175" s="8" t="s">
        <v>2203</v>
      </c>
      <c r="AG175" s="220"/>
    </row>
    <row r="176" spans="1:89" s="57" customFormat="1" ht="17.399999999999999">
      <c r="A176" s="30">
        <f t="shared" si="6"/>
        <v>175</v>
      </c>
      <c r="B176" s="7" t="s">
        <v>1417</v>
      </c>
      <c r="C176" s="7" t="s">
        <v>1418</v>
      </c>
      <c r="D176" s="56" t="s">
        <v>111</v>
      </c>
      <c r="E176" s="33" t="s">
        <v>53</v>
      </c>
      <c r="F176" s="22" t="s">
        <v>145</v>
      </c>
      <c r="G176" s="22" t="s">
        <v>441</v>
      </c>
      <c r="H176" s="78" t="s">
        <v>1419</v>
      </c>
      <c r="I176" s="7" t="s">
        <v>646</v>
      </c>
      <c r="J176" s="7" t="s">
        <v>569</v>
      </c>
      <c r="K176" s="88" t="s">
        <v>1420</v>
      </c>
      <c r="L176" s="7" t="s">
        <v>1421</v>
      </c>
      <c r="M176" s="7" t="s">
        <v>125</v>
      </c>
      <c r="N176" s="192">
        <v>45835</v>
      </c>
      <c r="O176" s="193">
        <v>45713</v>
      </c>
      <c r="P176" s="198" t="s">
        <v>1235</v>
      </c>
      <c r="Q176" s="72" t="s">
        <v>69</v>
      </c>
      <c r="R176" s="94" t="s">
        <v>139</v>
      </c>
      <c r="S176" s="188" t="s">
        <v>423</v>
      </c>
      <c r="T176" s="191">
        <v>700</v>
      </c>
      <c r="U176" s="191">
        <v>2</v>
      </c>
      <c r="V176" s="282"/>
      <c r="W176" s="220"/>
      <c r="X176" s="14" t="s">
        <v>1504</v>
      </c>
      <c r="Y176" s="220"/>
      <c r="Z176" s="14" t="s">
        <v>2155</v>
      </c>
      <c r="AA176" s="47" t="s">
        <v>2125</v>
      </c>
      <c r="AB176" s="47" t="s">
        <v>1568</v>
      </c>
      <c r="AC176" s="47" t="s">
        <v>1923</v>
      </c>
      <c r="AD176" s="47" t="s">
        <v>1920</v>
      </c>
      <c r="AE176" s="47"/>
      <c r="AF176" s="220" t="s">
        <v>2399</v>
      </c>
      <c r="AG176" s="88"/>
    </row>
    <row r="177" spans="1:33" s="57" customFormat="1" ht="17.399999999999999">
      <c r="A177" s="30">
        <f t="shared" si="6"/>
        <v>176</v>
      </c>
      <c r="B177" s="7" t="s">
        <v>1545</v>
      </c>
      <c r="C177" s="7" t="s">
        <v>1546</v>
      </c>
      <c r="D177" s="56" t="s">
        <v>111</v>
      </c>
      <c r="E177" s="33" t="s">
        <v>53</v>
      </c>
      <c r="F177" s="22" t="s">
        <v>145</v>
      </c>
      <c r="G177" s="22" t="s">
        <v>441</v>
      </c>
      <c r="H177" s="78" t="s">
        <v>1547</v>
      </c>
      <c r="I177" s="7" t="s">
        <v>677</v>
      </c>
      <c r="J177" s="7" t="s">
        <v>569</v>
      </c>
      <c r="K177" s="88" t="s">
        <v>1548</v>
      </c>
      <c r="L177" s="7" t="s">
        <v>1549</v>
      </c>
      <c r="M177" s="7" t="s">
        <v>56</v>
      </c>
      <c r="N177" s="192">
        <v>46010</v>
      </c>
      <c r="O177" s="193">
        <v>45986</v>
      </c>
      <c r="P177" s="198" t="s">
        <v>1264</v>
      </c>
      <c r="Q177" s="72" t="s">
        <v>69</v>
      </c>
      <c r="R177" s="94" t="s">
        <v>917</v>
      </c>
      <c r="S177" s="188" t="s">
        <v>423</v>
      </c>
      <c r="T177" s="191">
        <v>700</v>
      </c>
      <c r="U177" s="191">
        <v>1</v>
      </c>
      <c r="V177" s="288"/>
      <c r="W177" s="220"/>
      <c r="X177" s="14" t="s">
        <v>1554</v>
      </c>
      <c r="Y177" s="220"/>
      <c r="Z177" s="14" t="s">
        <v>2150</v>
      </c>
      <c r="AA177" s="47"/>
      <c r="AB177" s="47" t="s">
        <v>1567</v>
      </c>
      <c r="AC177" s="47" t="s">
        <v>2135</v>
      </c>
      <c r="AD177" s="47" t="s">
        <v>1920</v>
      </c>
      <c r="AE177" s="47"/>
      <c r="AF177" s="220" t="s">
        <v>2363</v>
      </c>
      <c r="AG177" s="220"/>
    </row>
    <row r="178" spans="1:33" s="70" customFormat="1" ht="46.8">
      <c r="A178" s="30">
        <f t="shared" si="6"/>
        <v>177</v>
      </c>
      <c r="B178" s="7" t="s">
        <v>1427</v>
      </c>
      <c r="C178" s="7" t="s">
        <v>1428</v>
      </c>
      <c r="D178" s="56" t="s">
        <v>111</v>
      </c>
      <c r="E178" s="33" t="s">
        <v>53</v>
      </c>
      <c r="F178" s="22" t="s">
        <v>145</v>
      </c>
      <c r="G178" s="22" t="s">
        <v>441</v>
      </c>
      <c r="H178" s="78" t="s">
        <v>1429</v>
      </c>
      <c r="I178" s="7" t="s">
        <v>572</v>
      </c>
      <c r="J178" s="7" t="s">
        <v>568</v>
      </c>
      <c r="K178" s="88" t="s">
        <v>1430</v>
      </c>
      <c r="L178" s="7" t="s">
        <v>1431</v>
      </c>
      <c r="M178" s="7" t="s">
        <v>86</v>
      </c>
      <c r="N178" s="34">
        <v>45869</v>
      </c>
      <c r="O178" s="24" t="s">
        <v>1432</v>
      </c>
      <c r="P178" s="16" t="s">
        <v>1264</v>
      </c>
      <c r="Q178" s="72" t="s">
        <v>69</v>
      </c>
      <c r="R178" s="94" t="s">
        <v>102</v>
      </c>
      <c r="S178" s="94" t="s">
        <v>1426</v>
      </c>
      <c r="T178" s="22">
        <v>700</v>
      </c>
      <c r="U178" s="22">
        <v>2</v>
      </c>
      <c r="V178" s="283"/>
      <c r="W178" s="220"/>
      <c r="X178" s="14" t="s">
        <v>1504</v>
      </c>
      <c r="Y178" s="220"/>
      <c r="Z178" s="14" t="s">
        <v>2150</v>
      </c>
      <c r="AA178" s="47" t="s">
        <v>2128</v>
      </c>
      <c r="AB178" s="47" t="s">
        <v>1566</v>
      </c>
      <c r="AC178" s="47" t="s">
        <v>2129</v>
      </c>
      <c r="AD178" s="47" t="s">
        <v>1920</v>
      </c>
      <c r="AE178" s="47"/>
      <c r="AF178" s="284" t="s">
        <v>2400</v>
      </c>
      <c r="AG178" s="88" t="s">
        <v>2363</v>
      </c>
    </row>
    <row r="179" spans="1:33" s="304" customFormat="1" ht="31.2">
      <c r="A179" s="30">
        <f t="shared" si="6"/>
        <v>178</v>
      </c>
      <c r="B179" s="78" t="s">
        <v>878</v>
      </c>
      <c r="C179" s="22" t="s">
        <v>879</v>
      </c>
      <c r="D179" s="22" t="s">
        <v>111</v>
      </c>
      <c r="E179" s="22" t="s">
        <v>53</v>
      </c>
      <c r="F179" s="22" t="s">
        <v>83</v>
      </c>
      <c r="G179" s="22" t="s">
        <v>442</v>
      </c>
      <c r="H179" s="22" t="s">
        <v>1404</v>
      </c>
      <c r="I179" s="51" t="s">
        <v>667</v>
      </c>
      <c r="J179" s="51" t="s">
        <v>564</v>
      </c>
      <c r="K179" s="62" t="s">
        <v>880</v>
      </c>
      <c r="L179" s="52" t="s">
        <v>881</v>
      </c>
      <c r="M179" s="22" t="s">
        <v>477</v>
      </c>
      <c r="N179" s="195">
        <v>45035</v>
      </c>
      <c r="O179" s="195">
        <v>44767</v>
      </c>
      <c r="P179" s="195" t="s">
        <v>1233</v>
      </c>
      <c r="Q179" s="72" t="s">
        <v>69</v>
      </c>
      <c r="R179" s="28" t="s">
        <v>882</v>
      </c>
      <c r="S179" s="188" t="s">
        <v>1238</v>
      </c>
      <c r="T179" s="191">
        <v>700</v>
      </c>
      <c r="U179" s="191">
        <v>1</v>
      </c>
      <c r="V179" s="206"/>
      <c r="W179" s="221"/>
      <c r="X179" s="22" t="s">
        <v>1482</v>
      </c>
      <c r="Y179" s="88"/>
      <c r="Z179" s="7" t="s">
        <v>2150</v>
      </c>
      <c r="AA179" s="47" t="s">
        <v>2050</v>
      </c>
      <c r="AB179" s="47" t="s">
        <v>1565</v>
      </c>
      <c r="AC179" s="47" t="s">
        <v>2051</v>
      </c>
      <c r="AD179" s="47" t="s">
        <v>1920</v>
      </c>
      <c r="AE179" s="47"/>
      <c r="AF179" s="8" t="s">
        <v>2363</v>
      </c>
      <c r="AG179" s="222"/>
    </row>
    <row r="180" spans="1:33" s="57" customFormat="1" ht="46.8">
      <c r="A180" s="30">
        <f t="shared" si="6"/>
        <v>179</v>
      </c>
      <c r="B180" s="13" t="s">
        <v>278</v>
      </c>
      <c r="C180" s="13" t="s">
        <v>326</v>
      </c>
      <c r="D180" s="30" t="s">
        <v>143</v>
      </c>
      <c r="E180" s="13" t="s">
        <v>4</v>
      </c>
      <c r="F180" s="16" t="s">
        <v>142</v>
      </c>
      <c r="G180" s="16" t="s">
        <v>441</v>
      </c>
      <c r="H180" s="13" t="s">
        <v>399</v>
      </c>
      <c r="I180" s="51" t="str">
        <f>LEFT(K180,2)</f>
        <v>서울</v>
      </c>
      <c r="J180" s="51" t="s">
        <v>557</v>
      </c>
      <c r="K180" s="92" t="s">
        <v>92</v>
      </c>
      <c r="L180" s="16" t="s">
        <v>171</v>
      </c>
      <c r="M180" s="13" t="s">
        <v>10</v>
      </c>
      <c r="N180" s="25">
        <v>40410</v>
      </c>
      <c r="O180" s="25" t="s">
        <v>804</v>
      </c>
      <c r="P180" s="25" t="s">
        <v>1233</v>
      </c>
      <c r="Q180" s="30" t="s">
        <v>69</v>
      </c>
      <c r="R180" s="30" t="s">
        <v>872</v>
      </c>
      <c r="S180" s="217" t="s">
        <v>872</v>
      </c>
      <c r="T180" s="13" t="s">
        <v>68</v>
      </c>
      <c r="U180" s="218">
        <v>2</v>
      </c>
      <c r="V180" s="219" t="s">
        <v>1338</v>
      </c>
      <c r="W180" s="7"/>
      <c r="X180" s="22" t="s">
        <v>1482</v>
      </c>
      <c r="Y180" s="88"/>
      <c r="Z180" s="7" t="s">
        <v>2155</v>
      </c>
      <c r="AA180" s="47" t="s">
        <v>1921</v>
      </c>
      <c r="AB180" s="47" t="s">
        <v>1564</v>
      </c>
      <c r="AC180" s="47"/>
      <c r="AD180" s="47"/>
      <c r="AE180" s="47"/>
      <c r="AF180" s="8" t="s">
        <v>2198</v>
      </c>
      <c r="AG180" s="220"/>
    </row>
    <row r="181" spans="1:33" s="77" customFormat="1" ht="31.2">
      <c r="A181" s="30">
        <f t="shared" si="6"/>
        <v>180</v>
      </c>
      <c r="B181" s="7" t="s">
        <v>1838</v>
      </c>
      <c r="C181" s="7" t="s">
        <v>1839</v>
      </c>
      <c r="D181" s="33" t="s">
        <v>111</v>
      </c>
      <c r="E181" s="33" t="s">
        <v>53</v>
      </c>
      <c r="F181" s="22" t="s">
        <v>145</v>
      </c>
      <c r="G181" s="22" t="s">
        <v>441</v>
      </c>
      <c r="H181" s="78" t="s">
        <v>419</v>
      </c>
      <c r="I181" s="7" t="s">
        <v>566</v>
      </c>
      <c r="J181" s="7" t="s">
        <v>566</v>
      </c>
      <c r="K181" s="88" t="s">
        <v>1840</v>
      </c>
      <c r="L181" s="7" t="s">
        <v>1841</v>
      </c>
      <c r="M181" s="7" t="s">
        <v>131</v>
      </c>
      <c r="N181" s="192">
        <v>45741</v>
      </c>
      <c r="O181" s="193" t="s">
        <v>1842</v>
      </c>
      <c r="P181" s="198" t="s">
        <v>1273</v>
      </c>
      <c r="Q181" s="72" t="s">
        <v>69</v>
      </c>
      <c r="R181" s="290" t="s">
        <v>699</v>
      </c>
      <c r="S181" s="289" t="s">
        <v>695</v>
      </c>
      <c r="T181" s="191">
        <v>700</v>
      </c>
      <c r="U181" s="191">
        <v>2</v>
      </c>
      <c r="V181" s="282" t="s">
        <v>1372</v>
      </c>
      <c r="W181" s="220"/>
      <c r="X181" s="14" t="s">
        <v>1482</v>
      </c>
      <c r="Y181" s="220"/>
      <c r="Z181" s="14" t="s">
        <v>2155</v>
      </c>
      <c r="AA181" s="47"/>
      <c r="AB181" s="47" t="s">
        <v>2488</v>
      </c>
      <c r="AC181" s="47" t="s">
        <v>2139</v>
      </c>
      <c r="AD181" s="47" t="s">
        <v>1920</v>
      </c>
      <c r="AE181" s="47"/>
      <c r="AF181" s="220" t="s">
        <v>2411</v>
      </c>
      <c r="AG181" s="220" t="s">
        <v>1849</v>
      </c>
    </row>
    <row r="182" spans="1:33" s="57" customFormat="1" ht="31.2">
      <c r="A182" s="30">
        <f t="shared" si="6"/>
        <v>181</v>
      </c>
      <c r="B182" s="7" t="s">
        <v>1045</v>
      </c>
      <c r="C182" s="7" t="s">
        <v>356</v>
      </c>
      <c r="D182" s="14" t="s">
        <v>111</v>
      </c>
      <c r="E182" s="7" t="s">
        <v>53</v>
      </c>
      <c r="F182" s="7" t="s">
        <v>136</v>
      </c>
      <c r="G182" s="7" t="s">
        <v>441</v>
      </c>
      <c r="H182" s="7" t="s">
        <v>779</v>
      </c>
      <c r="I182" s="7" t="s">
        <v>711</v>
      </c>
      <c r="J182" s="7" t="s">
        <v>569</v>
      </c>
      <c r="K182" s="88" t="s">
        <v>1046</v>
      </c>
      <c r="L182" s="7" t="s">
        <v>1047</v>
      </c>
      <c r="M182" s="7" t="s">
        <v>125</v>
      </c>
      <c r="N182" s="34">
        <v>45322</v>
      </c>
      <c r="O182" s="34" t="s">
        <v>1048</v>
      </c>
      <c r="P182" s="7" t="s">
        <v>1235</v>
      </c>
      <c r="Q182" s="14" t="s">
        <v>69</v>
      </c>
      <c r="R182" s="14" t="s">
        <v>695</v>
      </c>
      <c r="S182" s="94" t="s">
        <v>1238</v>
      </c>
      <c r="T182" s="22">
        <v>700</v>
      </c>
      <c r="U182" s="22">
        <v>3</v>
      </c>
      <c r="V182" s="14"/>
      <c r="W182" s="7"/>
      <c r="X182" s="14" t="s">
        <v>1482</v>
      </c>
      <c r="Y182" s="8"/>
      <c r="Z182" s="7" t="s">
        <v>2150</v>
      </c>
      <c r="AA182" s="47" t="s">
        <v>2085</v>
      </c>
      <c r="AB182" s="47" t="s">
        <v>1563</v>
      </c>
      <c r="AC182" s="47"/>
      <c r="AD182" s="47"/>
      <c r="AE182" s="47"/>
      <c r="AF182" s="8" t="s">
        <v>2341</v>
      </c>
      <c r="AG182" s="88"/>
    </row>
    <row r="183" spans="1:33" s="57" customFormat="1" ht="17.399999999999999">
      <c r="A183" s="30">
        <f t="shared" si="6"/>
        <v>182</v>
      </c>
      <c r="B183" s="28" t="s">
        <v>118</v>
      </c>
      <c r="C183" s="22" t="s">
        <v>394</v>
      </c>
      <c r="D183" s="98" t="s">
        <v>143</v>
      </c>
      <c r="E183" s="28" t="s">
        <v>53</v>
      </c>
      <c r="F183" s="22" t="s">
        <v>145</v>
      </c>
      <c r="G183" s="22" t="s">
        <v>441</v>
      </c>
      <c r="H183" s="28" t="s">
        <v>409</v>
      </c>
      <c r="I183" s="51" t="str">
        <f>LEFT(K183,2)</f>
        <v>세종</v>
      </c>
      <c r="J183" s="51" t="s">
        <v>569</v>
      </c>
      <c r="K183" s="58" t="s">
        <v>122</v>
      </c>
      <c r="L183" s="99" t="s">
        <v>130</v>
      </c>
      <c r="M183" s="28" t="s">
        <v>125</v>
      </c>
      <c r="N183" s="27">
        <v>44049</v>
      </c>
      <c r="O183" s="53">
        <v>43861</v>
      </c>
      <c r="P183" s="53" t="s">
        <v>1233</v>
      </c>
      <c r="Q183" s="12" t="s">
        <v>77</v>
      </c>
      <c r="R183" s="98" t="s">
        <v>872</v>
      </c>
      <c r="S183" s="30" t="s">
        <v>1237</v>
      </c>
      <c r="T183" s="28">
        <v>700</v>
      </c>
      <c r="U183" s="245">
        <v>1</v>
      </c>
      <c r="V183" s="98"/>
      <c r="W183" s="7"/>
      <c r="X183" s="7" t="s">
        <v>1482</v>
      </c>
      <c r="Y183" s="88"/>
      <c r="Z183" s="7" t="s">
        <v>2150</v>
      </c>
      <c r="AA183" s="47" t="s">
        <v>1942</v>
      </c>
      <c r="AB183" s="47" t="s">
        <v>1562</v>
      </c>
      <c r="AC183" s="47"/>
      <c r="AD183" s="47"/>
      <c r="AE183" s="47"/>
      <c r="AF183" s="8" t="s">
        <v>2230</v>
      </c>
      <c r="AG183" s="88"/>
    </row>
    <row r="184" spans="1:33" s="57" customFormat="1" ht="31.2">
      <c r="A184" s="30">
        <f t="shared" si="6"/>
        <v>183</v>
      </c>
      <c r="B184" s="78" t="s">
        <v>981</v>
      </c>
      <c r="C184" s="22" t="s">
        <v>982</v>
      </c>
      <c r="D184" s="56" t="s">
        <v>111</v>
      </c>
      <c r="E184" s="33" t="s">
        <v>53</v>
      </c>
      <c r="F184" s="22" t="s">
        <v>145</v>
      </c>
      <c r="G184" s="22" t="s">
        <v>441</v>
      </c>
      <c r="H184" s="78" t="s">
        <v>408</v>
      </c>
      <c r="I184" s="51" t="s">
        <v>677</v>
      </c>
      <c r="J184" s="51" t="s">
        <v>569</v>
      </c>
      <c r="K184" s="62" t="s">
        <v>983</v>
      </c>
      <c r="L184" s="52" t="s">
        <v>984</v>
      </c>
      <c r="M184" s="22" t="s">
        <v>80</v>
      </c>
      <c r="N184" s="27">
        <v>45246</v>
      </c>
      <c r="O184" s="27" t="s">
        <v>985</v>
      </c>
      <c r="P184" s="27" t="s">
        <v>1235</v>
      </c>
      <c r="Q184" s="72" t="s">
        <v>69</v>
      </c>
      <c r="R184" s="94" t="s">
        <v>908</v>
      </c>
      <c r="S184" s="94" t="s">
        <v>908</v>
      </c>
      <c r="T184" s="22">
        <v>700</v>
      </c>
      <c r="U184" s="22">
        <v>2</v>
      </c>
      <c r="V184" s="73"/>
      <c r="W184" s="221"/>
      <c r="X184" s="22" t="s">
        <v>1482</v>
      </c>
      <c r="Y184" s="88"/>
      <c r="Z184" s="7" t="s">
        <v>2150</v>
      </c>
      <c r="AA184" s="47" t="s">
        <v>2076</v>
      </c>
      <c r="AB184" s="47" t="s">
        <v>2077</v>
      </c>
      <c r="AC184" s="47"/>
      <c r="AD184" s="47"/>
      <c r="AE184" s="47"/>
      <c r="AF184" s="8" t="s">
        <v>2331</v>
      </c>
      <c r="AG184" s="220"/>
    </row>
    <row r="185" spans="1:33" s="304" customFormat="1" ht="17.399999999999999">
      <c r="A185" s="30">
        <f t="shared" si="6"/>
        <v>184</v>
      </c>
      <c r="B185" s="13" t="s">
        <v>282</v>
      </c>
      <c r="C185" s="13" t="s">
        <v>589</v>
      </c>
      <c r="D185" s="30" t="s">
        <v>143</v>
      </c>
      <c r="E185" s="15" t="s">
        <v>4</v>
      </c>
      <c r="F185" s="7" t="s">
        <v>83</v>
      </c>
      <c r="G185" s="7" t="s">
        <v>442</v>
      </c>
      <c r="H185" s="16" t="s">
        <v>1395</v>
      </c>
      <c r="I185" s="51" t="str">
        <f>LEFT(K185,2)</f>
        <v>충북</v>
      </c>
      <c r="J185" s="51" t="s">
        <v>569</v>
      </c>
      <c r="K185" s="319" t="s">
        <v>75</v>
      </c>
      <c r="L185" s="17" t="s">
        <v>217</v>
      </c>
      <c r="M185" s="15" t="s">
        <v>76</v>
      </c>
      <c r="N185" s="193">
        <v>43999</v>
      </c>
      <c r="O185" s="201">
        <v>43789</v>
      </c>
      <c r="P185" s="201" t="s">
        <v>1233</v>
      </c>
      <c r="Q185" s="14" t="s">
        <v>77</v>
      </c>
      <c r="R185" s="14" t="s">
        <v>72</v>
      </c>
      <c r="S185" s="198" t="s">
        <v>417</v>
      </c>
      <c r="T185" s="189" t="s">
        <v>67</v>
      </c>
      <c r="U185" s="241">
        <v>1</v>
      </c>
      <c r="V185" s="199"/>
      <c r="W185" s="7"/>
      <c r="X185" s="7" t="s">
        <v>1482</v>
      </c>
      <c r="Y185" s="88"/>
      <c r="Z185" s="7" t="s">
        <v>2155</v>
      </c>
      <c r="AA185" s="47" t="s">
        <v>1783</v>
      </c>
      <c r="AB185" s="47" t="s">
        <v>1561</v>
      </c>
      <c r="AC185" s="47" t="s">
        <v>1940</v>
      </c>
      <c r="AD185" s="47" t="s">
        <v>1920</v>
      </c>
      <c r="AE185" s="47"/>
      <c r="AF185" s="8" t="s">
        <v>2226</v>
      </c>
      <c r="AG185" s="88"/>
    </row>
    <row r="186" spans="1:33" s="391" customFormat="1" ht="31.2">
      <c r="A186" s="30">
        <f t="shared" si="6"/>
        <v>185</v>
      </c>
      <c r="B186" s="7" t="s">
        <v>2187</v>
      </c>
      <c r="C186" s="7" t="s">
        <v>1422</v>
      </c>
      <c r="D186" s="56" t="s">
        <v>111</v>
      </c>
      <c r="E186" s="33" t="s">
        <v>53</v>
      </c>
      <c r="F186" s="22" t="s">
        <v>145</v>
      </c>
      <c r="G186" s="22" t="s">
        <v>441</v>
      </c>
      <c r="H186" s="78" t="s">
        <v>779</v>
      </c>
      <c r="I186" s="7" t="s">
        <v>572</v>
      </c>
      <c r="J186" s="7" t="s">
        <v>568</v>
      </c>
      <c r="K186" s="88" t="s">
        <v>1423</v>
      </c>
      <c r="L186" s="7" t="s">
        <v>1424</v>
      </c>
      <c r="M186" s="7" t="s">
        <v>86</v>
      </c>
      <c r="N186" s="34">
        <v>45867</v>
      </c>
      <c r="O186" s="24" t="s">
        <v>1425</v>
      </c>
      <c r="P186" s="16" t="s">
        <v>1264</v>
      </c>
      <c r="Q186" s="72" t="s">
        <v>69</v>
      </c>
      <c r="R186" s="94" t="s">
        <v>1058</v>
      </c>
      <c r="S186" s="94" t="s">
        <v>1426</v>
      </c>
      <c r="T186" s="22">
        <v>700</v>
      </c>
      <c r="U186" s="22">
        <v>2</v>
      </c>
      <c r="V186" s="283"/>
      <c r="W186" s="220"/>
      <c r="X186" s="14" t="s">
        <v>1482</v>
      </c>
      <c r="Y186" s="220"/>
      <c r="Z186" s="14" t="s">
        <v>2151</v>
      </c>
      <c r="AA186" s="47" t="s">
        <v>2126</v>
      </c>
      <c r="AB186" s="47" t="s">
        <v>2127</v>
      </c>
      <c r="AC186" s="47" t="s">
        <v>2064</v>
      </c>
      <c r="AD186" s="47" t="s">
        <v>1920</v>
      </c>
      <c r="AE186" s="47"/>
      <c r="AF186" s="284" t="s">
        <v>2400</v>
      </c>
      <c r="AG186" s="88" t="s">
        <v>2401</v>
      </c>
    </row>
    <row r="187" spans="1:33" s="57" customFormat="1" ht="31.2">
      <c r="A187" s="30">
        <f t="shared" si="6"/>
        <v>186</v>
      </c>
      <c r="B187" s="7" t="s">
        <v>2188</v>
      </c>
      <c r="C187" s="16" t="s">
        <v>369</v>
      </c>
      <c r="D187" s="16" t="s">
        <v>111</v>
      </c>
      <c r="E187" s="16" t="s">
        <v>1857</v>
      </c>
      <c r="F187" s="22" t="s">
        <v>145</v>
      </c>
      <c r="G187" s="22" t="s">
        <v>441</v>
      </c>
      <c r="H187" s="78" t="s">
        <v>398</v>
      </c>
      <c r="I187" s="7" t="s">
        <v>677</v>
      </c>
      <c r="J187" s="7" t="s">
        <v>569</v>
      </c>
      <c r="K187" s="88" t="s">
        <v>1858</v>
      </c>
      <c r="L187" s="7" t="s">
        <v>1859</v>
      </c>
      <c r="M187" s="7" t="s">
        <v>80</v>
      </c>
      <c r="N187" s="34">
        <v>46120</v>
      </c>
      <c r="O187" s="24">
        <v>45492</v>
      </c>
      <c r="P187" s="16" t="s">
        <v>1264</v>
      </c>
      <c r="Q187" s="72" t="s">
        <v>69</v>
      </c>
      <c r="R187" s="290" t="s">
        <v>695</v>
      </c>
      <c r="S187" s="290" t="s">
        <v>695</v>
      </c>
      <c r="T187" s="22">
        <v>700</v>
      </c>
      <c r="U187" s="22">
        <v>2</v>
      </c>
      <c r="V187" s="283"/>
      <c r="W187" s="88"/>
      <c r="X187" s="7" t="s">
        <v>1864</v>
      </c>
      <c r="Y187" s="88"/>
      <c r="Z187" s="7" t="s">
        <v>2151</v>
      </c>
      <c r="AA187" s="47"/>
      <c r="AB187" s="47" t="s">
        <v>1865</v>
      </c>
      <c r="AC187" s="47"/>
      <c r="AD187" s="47"/>
      <c r="AE187" s="47"/>
      <c r="AF187" s="88" t="s">
        <v>2413</v>
      </c>
      <c r="AG187" s="88"/>
    </row>
    <row r="188" spans="1:33" s="77" customFormat="1" ht="31.2">
      <c r="A188" s="30">
        <f t="shared" si="6"/>
        <v>187</v>
      </c>
      <c r="B188" s="78" t="s">
        <v>777</v>
      </c>
      <c r="C188" s="22" t="s">
        <v>778</v>
      </c>
      <c r="D188" s="22" t="s">
        <v>111</v>
      </c>
      <c r="E188" s="22" t="s">
        <v>53</v>
      </c>
      <c r="F188" s="22" t="s">
        <v>136</v>
      </c>
      <c r="G188" s="22" t="s">
        <v>441</v>
      </c>
      <c r="H188" s="22" t="s">
        <v>779</v>
      </c>
      <c r="I188" s="51" t="s">
        <v>572</v>
      </c>
      <c r="J188" s="51" t="s">
        <v>568</v>
      </c>
      <c r="K188" s="62" t="s">
        <v>780</v>
      </c>
      <c r="L188" s="52" t="s">
        <v>781</v>
      </c>
      <c r="M188" s="22" t="s">
        <v>86</v>
      </c>
      <c r="N188" s="27">
        <v>44868</v>
      </c>
      <c r="O188" s="27" t="s">
        <v>782</v>
      </c>
      <c r="P188" s="27" t="s">
        <v>1235</v>
      </c>
      <c r="Q188" s="22" t="s">
        <v>69</v>
      </c>
      <c r="R188" s="94" t="s">
        <v>408</v>
      </c>
      <c r="S188" s="94" t="s">
        <v>1238</v>
      </c>
      <c r="T188" s="22">
        <v>700</v>
      </c>
      <c r="U188" s="22">
        <v>3</v>
      </c>
      <c r="V188" s="52"/>
      <c r="W188" s="221"/>
      <c r="X188" s="14" t="s">
        <v>1482</v>
      </c>
      <c r="Y188" s="88" t="s">
        <v>1489</v>
      </c>
      <c r="Z188" s="7" t="s">
        <v>2150</v>
      </c>
      <c r="AA188" s="47" t="s">
        <v>2031</v>
      </c>
      <c r="AB188" s="47" t="s">
        <v>2032</v>
      </c>
      <c r="AC188" s="47"/>
      <c r="AD188" s="47"/>
      <c r="AE188" s="47"/>
      <c r="AF188" s="8" t="s">
        <v>2309</v>
      </c>
      <c r="AG188" s="222" t="s">
        <v>1851</v>
      </c>
    </row>
    <row r="189" spans="1:33" s="57" customFormat="1" ht="31.2">
      <c r="A189" s="296">
        <f t="shared" si="6"/>
        <v>188</v>
      </c>
      <c r="B189" s="305" t="s">
        <v>1195</v>
      </c>
      <c r="C189" s="7" t="s">
        <v>1212</v>
      </c>
      <c r="D189" s="56" t="s">
        <v>111</v>
      </c>
      <c r="E189" s="33" t="s">
        <v>1213</v>
      </c>
      <c r="F189" s="22" t="s">
        <v>145</v>
      </c>
      <c r="G189" s="22" t="s">
        <v>441</v>
      </c>
      <c r="H189" s="72" t="s">
        <v>779</v>
      </c>
      <c r="I189" s="7" t="s">
        <v>565</v>
      </c>
      <c r="J189" s="7" t="s">
        <v>565</v>
      </c>
      <c r="K189" s="301" t="s">
        <v>1214</v>
      </c>
      <c r="L189" s="305" t="s">
        <v>1215</v>
      </c>
      <c r="M189" s="305" t="s">
        <v>237</v>
      </c>
      <c r="N189" s="192">
        <v>45611</v>
      </c>
      <c r="O189" s="193" t="s">
        <v>1216</v>
      </c>
      <c r="P189" s="198" t="s">
        <v>1235</v>
      </c>
      <c r="Q189" s="72" t="s">
        <v>69</v>
      </c>
      <c r="R189" s="296" t="s">
        <v>408</v>
      </c>
      <c r="S189" s="188" t="s">
        <v>1238</v>
      </c>
      <c r="T189" s="191">
        <v>700</v>
      </c>
      <c r="U189" s="191">
        <v>2</v>
      </c>
      <c r="V189" s="280"/>
      <c r="W189" s="305"/>
      <c r="X189" s="299" t="s">
        <v>1482</v>
      </c>
      <c r="Y189" s="301"/>
      <c r="Z189" s="305" t="s">
        <v>2150</v>
      </c>
      <c r="AA189" s="47" t="s">
        <v>2113</v>
      </c>
      <c r="AB189" s="47" t="s">
        <v>2032</v>
      </c>
      <c r="AC189" s="47" t="s">
        <v>2064</v>
      </c>
      <c r="AD189" s="47"/>
      <c r="AE189" s="47"/>
      <c r="AF189" s="302" t="s">
        <v>2388</v>
      </c>
      <c r="AG189" s="307"/>
    </row>
    <row r="190" spans="1:33" s="77" customFormat="1" ht="31.2">
      <c r="A190" s="30">
        <f t="shared" si="6"/>
        <v>189</v>
      </c>
      <c r="B190" s="78" t="s">
        <v>875</v>
      </c>
      <c r="C190" s="22" t="s">
        <v>336</v>
      </c>
      <c r="D190" s="22" t="s">
        <v>111</v>
      </c>
      <c r="E190" s="22" t="s">
        <v>53</v>
      </c>
      <c r="F190" s="22" t="s">
        <v>145</v>
      </c>
      <c r="G190" s="22" t="s">
        <v>441</v>
      </c>
      <c r="H190" s="22" t="s">
        <v>779</v>
      </c>
      <c r="I190" s="51" t="s">
        <v>575</v>
      </c>
      <c r="J190" s="51" t="s">
        <v>564</v>
      </c>
      <c r="K190" s="62" t="s">
        <v>876</v>
      </c>
      <c r="L190" s="52" t="s">
        <v>887</v>
      </c>
      <c r="M190" s="22" t="s">
        <v>55</v>
      </c>
      <c r="N190" s="27">
        <v>45031</v>
      </c>
      <c r="O190" s="27" t="s">
        <v>877</v>
      </c>
      <c r="P190" s="27" t="s">
        <v>1235</v>
      </c>
      <c r="Q190" s="72" t="s">
        <v>69</v>
      </c>
      <c r="R190" s="28" t="s">
        <v>408</v>
      </c>
      <c r="S190" s="94" t="s">
        <v>1238</v>
      </c>
      <c r="T190" s="22">
        <v>700</v>
      </c>
      <c r="U190" s="22">
        <v>3</v>
      </c>
      <c r="V190" s="28"/>
      <c r="W190" s="221"/>
      <c r="X190" s="14" t="s">
        <v>1482</v>
      </c>
      <c r="Y190" s="222"/>
      <c r="Z190" s="221" t="s">
        <v>2155</v>
      </c>
      <c r="AA190" s="47" t="s">
        <v>1636</v>
      </c>
      <c r="AB190" s="47" t="s">
        <v>2047</v>
      </c>
      <c r="AC190" s="47" t="s">
        <v>2048</v>
      </c>
      <c r="AD190" s="47" t="s">
        <v>1920</v>
      </c>
      <c r="AE190" s="47"/>
      <c r="AF190" s="411" t="s">
        <v>2361</v>
      </c>
      <c r="AG190" s="220" t="s">
        <v>2362</v>
      </c>
    </row>
    <row r="191" spans="1:33" s="57" customFormat="1" ht="34.799999999999997">
      <c r="A191" s="30">
        <f t="shared" si="6"/>
        <v>190</v>
      </c>
      <c r="B191" s="7" t="s">
        <v>2186</v>
      </c>
      <c r="C191" s="7" t="s">
        <v>1541</v>
      </c>
      <c r="D191" s="56" t="s">
        <v>111</v>
      </c>
      <c r="E191" s="33" t="s">
        <v>53</v>
      </c>
      <c r="F191" s="22" t="s">
        <v>145</v>
      </c>
      <c r="G191" s="22" t="s">
        <v>441</v>
      </c>
      <c r="H191" s="78" t="s">
        <v>1542</v>
      </c>
      <c r="I191" s="7" t="s">
        <v>646</v>
      </c>
      <c r="J191" s="7" t="s">
        <v>569</v>
      </c>
      <c r="K191" s="88" t="s">
        <v>1543</v>
      </c>
      <c r="L191" s="7" t="s">
        <v>1544</v>
      </c>
      <c r="M191" s="7" t="s">
        <v>125</v>
      </c>
      <c r="N191" s="192">
        <v>46010</v>
      </c>
      <c r="O191" s="193">
        <v>45796</v>
      </c>
      <c r="P191" s="198" t="s">
        <v>1264</v>
      </c>
      <c r="Q191" s="72" t="s">
        <v>69</v>
      </c>
      <c r="R191" s="94" t="s">
        <v>908</v>
      </c>
      <c r="S191" s="188" t="s">
        <v>1426</v>
      </c>
      <c r="T191" s="191">
        <v>700</v>
      </c>
      <c r="U191" s="191">
        <v>2</v>
      </c>
      <c r="V191" s="288"/>
      <c r="W191" s="220"/>
      <c r="X191" s="14" t="s">
        <v>1482</v>
      </c>
      <c r="Y191" s="220"/>
      <c r="Z191" s="14" t="s">
        <v>2151</v>
      </c>
      <c r="AA191" s="47" t="s">
        <v>2133</v>
      </c>
      <c r="AB191" s="47" t="s">
        <v>2134</v>
      </c>
      <c r="AC191" s="47" t="s">
        <v>1919</v>
      </c>
      <c r="AD191" s="47" t="s">
        <v>1920</v>
      </c>
      <c r="AE191" s="357" t="s">
        <v>2291</v>
      </c>
      <c r="AF191" s="284" t="s">
        <v>2406</v>
      </c>
      <c r="AG191" s="220" t="s">
        <v>2407</v>
      </c>
    </row>
    <row r="192" spans="1:33" s="57" customFormat="1" ht="34.799999999999997">
      <c r="A192" s="74">
        <f t="shared" si="6"/>
        <v>191</v>
      </c>
      <c r="B192" s="48" t="s">
        <v>977</v>
      </c>
      <c r="C192" s="48" t="s">
        <v>978</v>
      </c>
      <c r="D192" s="124" t="s">
        <v>111</v>
      </c>
      <c r="E192" s="82" t="s">
        <v>53</v>
      </c>
      <c r="F192" s="48" t="s">
        <v>222</v>
      </c>
      <c r="G192" s="48" t="s">
        <v>441</v>
      </c>
      <c r="H192" s="48" t="s">
        <v>779</v>
      </c>
      <c r="I192" s="86" t="s">
        <v>565</v>
      </c>
      <c r="J192" s="86" t="s">
        <v>565</v>
      </c>
      <c r="K192" s="83" t="s">
        <v>979</v>
      </c>
      <c r="L192" s="80" t="s">
        <v>980</v>
      </c>
      <c r="M192" s="48" t="s">
        <v>464</v>
      </c>
      <c r="N192" s="348">
        <v>45203</v>
      </c>
      <c r="O192" s="348">
        <v>44897</v>
      </c>
      <c r="P192" s="348" t="s">
        <v>1235</v>
      </c>
      <c r="Q192" s="48" t="s">
        <v>69</v>
      </c>
      <c r="R192" s="121" t="s">
        <v>408</v>
      </c>
      <c r="S192" s="204" t="s">
        <v>1238</v>
      </c>
      <c r="T192" s="205">
        <v>700</v>
      </c>
      <c r="U192" s="205">
        <v>2</v>
      </c>
      <c r="V192" s="349"/>
      <c r="W192" s="248"/>
      <c r="X192" s="121" t="s">
        <v>1482</v>
      </c>
      <c r="Y192" s="125"/>
      <c r="Z192" s="123" t="s">
        <v>2150</v>
      </c>
      <c r="AA192" s="392" t="s">
        <v>2074</v>
      </c>
      <c r="AB192" s="392" t="s">
        <v>2075</v>
      </c>
      <c r="AC192" s="392" t="s">
        <v>2064</v>
      </c>
      <c r="AD192" s="392" t="s">
        <v>1920</v>
      </c>
      <c r="AE192" s="402" t="s">
        <v>2503</v>
      </c>
      <c r="AF192" s="233" t="s">
        <v>2332</v>
      </c>
      <c r="AG192" s="161" t="s">
        <v>2333</v>
      </c>
    </row>
    <row r="193" spans="1:89" s="114" customFormat="1" ht="31.2">
      <c r="A193" s="30">
        <f t="shared" si="6"/>
        <v>192</v>
      </c>
      <c r="B193" s="7" t="s">
        <v>1109</v>
      </c>
      <c r="C193" s="7" t="s">
        <v>1110</v>
      </c>
      <c r="D193" s="56" t="s">
        <v>111</v>
      </c>
      <c r="E193" s="33" t="s">
        <v>53</v>
      </c>
      <c r="F193" s="22" t="s">
        <v>145</v>
      </c>
      <c r="G193" s="22" t="s">
        <v>441</v>
      </c>
      <c r="H193" s="78" t="s">
        <v>779</v>
      </c>
      <c r="I193" s="7" t="s">
        <v>565</v>
      </c>
      <c r="J193" s="7" t="s">
        <v>565</v>
      </c>
      <c r="K193" s="88" t="s">
        <v>1111</v>
      </c>
      <c r="L193" s="7" t="s">
        <v>1112</v>
      </c>
      <c r="M193" s="7" t="s">
        <v>464</v>
      </c>
      <c r="N193" s="34">
        <v>45439</v>
      </c>
      <c r="O193" s="24" t="s">
        <v>1113</v>
      </c>
      <c r="P193" s="16" t="s">
        <v>1235</v>
      </c>
      <c r="Q193" s="72" t="s">
        <v>69</v>
      </c>
      <c r="R193" s="94" t="s">
        <v>408</v>
      </c>
      <c r="S193" s="94" t="s">
        <v>1238</v>
      </c>
      <c r="T193" s="22">
        <v>700</v>
      </c>
      <c r="U193" s="22">
        <v>3</v>
      </c>
      <c r="V193" s="73"/>
      <c r="W193" s="7"/>
      <c r="X193" s="14" t="s">
        <v>1482</v>
      </c>
      <c r="Y193" s="88"/>
      <c r="Z193" s="7" t="s">
        <v>2150</v>
      </c>
      <c r="AA193" s="47" t="s">
        <v>2097</v>
      </c>
      <c r="AB193" s="47" t="s">
        <v>2075</v>
      </c>
      <c r="AC193" s="47"/>
      <c r="AD193" s="47"/>
      <c r="AE193" s="47"/>
      <c r="AF193" s="8" t="s">
        <v>2350</v>
      </c>
      <c r="AG193" s="220"/>
      <c r="AH193" s="57"/>
      <c r="AI193" s="57"/>
      <c r="AJ193" s="57"/>
      <c r="AK193" s="57"/>
      <c r="AL193" s="57"/>
      <c r="AM193" s="57"/>
      <c r="AN193" s="57"/>
      <c r="AO193" s="57"/>
      <c r="AP193" s="57"/>
      <c r="AQ193" s="57"/>
      <c r="AR193" s="57"/>
      <c r="AS193" s="57"/>
      <c r="AT193" s="57"/>
      <c r="AU193" s="57"/>
      <c r="AV193" s="57"/>
      <c r="AW193" s="57"/>
      <c r="AX193" s="57"/>
      <c r="AY193" s="57"/>
      <c r="AZ193" s="57"/>
      <c r="BA193" s="57"/>
      <c r="BB193" s="57"/>
      <c r="BC193" s="57"/>
      <c r="BD193" s="57"/>
      <c r="BE193" s="57"/>
      <c r="BF193" s="57"/>
      <c r="BG193" s="57"/>
      <c r="BH193" s="57"/>
      <c r="BI193" s="57"/>
      <c r="BJ193" s="57"/>
      <c r="BK193" s="57"/>
      <c r="BL193" s="57"/>
      <c r="BM193" s="57"/>
      <c r="BN193" s="57"/>
      <c r="BO193" s="57"/>
      <c r="BP193" s="57"/>
      <c r="BQ193" s="57"/>
      <c r="BR193" s="57"/>
      <c r="BS193" s="57"/>
      <c r="BT193" s="57"/>
      <c r="BU193" s="57"/>
      <c r="BV193" s="57"/>
      <c r="BW193" s="57"/>
      <c r="BX193" s="57"/>
      <c r="BY193" s="57"/>
      <c r="BZ193" s="57"/>
      <c r="CA193" s="57"/>
      <c r="CB193" s="57"/>
      <c r="CC193" s="57"/>
      <c r="CD193" s="57"/>
      <c r="CE193" s="57"/>
      <c r="CF193" s="57"/>
      <c r="CG193" s="57"/>
      <c r="CH193" s="57"/>
      <c r="CI193" s="57"/>
      <c r="CJ193" s="57"/>
      <c r="CK193" s="57"/>
    </row>
    <row r="194" spans="1:89" s="70" customFormat="1" ht="17.399999999999999">
      <c r="A194" s="30">
        <f t="shared" si="6"/>
        <v>193</v>
      </c>
      <c r="B194" s="7" t="s">
        <v>1255</v>
      </c>
      <c r="C194" s="7" t="s">
        <v>1280</v>
      </c>
      <c r="D194" s="56" t="s">
        <v>1281</v>
      </c>
      <c r="E194" s="33" t="s">
        <v>113</v>
      </c>
      <c r="F194" s="22" t="s">
        <v>145</v>
      </c>
      <c r="G194" s="22" t="s">
        <v>441</v>
      </c>
      <c r="H194" s="78" t="s">
        <v>779</v>
      </c>
      <c r="I194" s="7" t="s">
        <v>856</v>
      </c>
      <c r="J194" s="7" t="s">
        <v>564</v>
      </c>
      <c r="K194" s="88" t="s">
        <v>1282</v>
      </c>
      <c r="L194" s="7" t="s">
        <v>1283</v>
      </c>
      <c r="M194" s="7" t="s">
        <v>51</v>
      </c>
      <c r="N194" s="34">
        <v>45652</v>
      </c>
      <c r="O194" s="24" t="s">
        <v>1284</v>
      </c>
      <c r="P194" s="16" t="s">
        <v>1264</v>
      </c>
      <c r="Q194" s="72" t="s">
        <v>69</v>
      </c>
      <c r="R194" s="94" t="s">
        <v>695</v>
      </c>
      <c r="S194" s="94" t="s">
        <v>423</v>
      </c>
      <c r="T194" s="22">
        <v>700</v>
      </c>
      <c r="U194" s="22">
        <v>3</v>
      </c>
      <c r="V194" s="264"/>
      <c r="W194" s="7"/>
      <c r="X194" s="14" t="s">
        <v>1482</v>
      </c>
      <c r="Y194" s="88"/>
      <c r="Z194" s="7" t="s">
        <v>2150</v>
      </c>
      <c r="AA194" s="47" t="s">
        <v>2119</v>
      </c>
      <c r="AB194" s="47" t="s">
        <v>2120</v>
      </c>
      <c r="AC194" s="47" t="s">
        <v>2394</v>
      </c>
      <c r="AD194" s="47"/>
      <c r="AE194" s="47"/>
      <c r="AF194" s="8" t="s">
        <v>2395</v>
      </c>
      <c r="AG194" s="222"/>
    </row>
    <row r="195" spans="1:89" s="57" customFormat="1" ht="31.2">
      <c r="A195" s="30">
        <f t="shared" ref="A195:A258" si="7">A194+1</f>
        <v>194</v>
      </c>
      <c r="B195" s="78" t="s">
        <v>989</v>
      </c>
      <c r="C195" s="22" t="s">
        <v>994</v>
      </c>
      <c r="D195" s="56" t="s">
        <v>111</v>
      </c>
      <c r="E195" s="33" t="s">
        <v>53</v>
      </c>
      <c r="F195" s="22" t="s">
        <v>145</v>
      </c>
      <c r="G195" s="22" t="s">
        <v>441</v>
      </c>
      <c r="H195" s="78" t="s">
        <v>779</v>
      </c>
      <c r="I195" s="51" t="s">
        <v>667</v>
      </c>
      <c r="J195" s="51" t="s">
        <v>564</v>
      </c>
      <c r="K195" s="62" t="s">
        <v>1005</v>
      </c>
      <c r="L195" s="52" t="s">
        <v>998</v>
      </c>
      <c r="M195" s="22" t="s">
        <v>731</v>
      </c>
      <c r="N195" s="195">
        <v>45282</v>
      </c>
      <c r="O195" s="195">
        <v>44734</v>
      </c>
      <c r="P195" s="195" t="s">
        <v>1235</v>
      </c>
      <c r="Q195" s="72" t="s">
        <v>69</v>
      </c>
      <c r="R195" s="94" t="s">
        <v>408</v>
      </c>
      <c r="S195" s="188" t="s">
        <v>1238</v>
      </c>
      <c r="T195" s="191">
        <v>700</v>
      </c>
      <c r="U195" s="191">
        <v>2</v>
      </c>
      <c r="V195" s="271"/>
      <c r="W195" s="221"/>
      <c r="X195" s="14" t="s">
        <v>1482</v>
      </c>
      <c r="Y195" s="88" t="s">
        <v>1489</v>
      </c>
      <c r="Z195" s="7" t="s">
        <v>2150</v>
      </c>
      <c r="AA195" s="47" t="s">
        <v>2081</v>
      </c>
      <c r="AB195" s="47" t="s">
        <v>2082</v>
      </c>
      <c r="AC195" s="47" t="s">
        <v>2064</v>
      </c>
      <c r="AD195" s="47" t="s">
        <v>1920</v>
      </c>
      <c r="AE195" s="47"/>
      <c r="AF195" s="8" t="s">
        <v>2339</v>
      </c>
      <c r="AG195" s="220"/>
    </row>
    <row r="196" spans="1:89" s="77" customFormat="1" ht="34.799999999999997">
      <c r="A196" s="290">
        <f t="shared" si="7"/>
        <v>195</v>
      </c>
      <c r="B196" s="7" t="s">
        <v>2189</v>
      </c>
      <c r="C196" s="16" t="s">
        <v>1144</v>
      </c>
      <c r="D196" s="16" t="s">
        <v>111</v>
      </c>
      <c r="E196" s="33" t="s">
        <v>53</v>
      </c>
      <c r="F196" s="22" t="s">
        <v>136</v>
      </c>
      <c r="G196" s="22" t="s">
        <v>441</v>
      </c>
      <c r="H196" s="22" t="s">
        <v>1527</v>
      </c>
      <c r="I196" s="7" t="s">
        <v>575</v>
      </c>
      <c r="J196" s="7" t="s">
        <v>564</v>
      </c>
      <c r="K196" s="88" t="s">
        <v>1875</v>
      </c>
      <c r="L196" s="7" t="s">
        <v>1876</v>
      </c>
      <c r="M196" s="7" t="s">
        <v>55</v>
      </c>
      <c r="N196" s="34">
        <v>46212</v>
      </c>
      <c r="O196" s="34">
        <v>45957</v>
      </c>
      <c r="P196" s="16" t="s">
        <v>1264</v>
      </c>
      <c r="Q196" s="22" t="s">
        <v>69</v>
      </c>
      <c r="R196" s="290" t="s">
        <v>1877</v>
      </c>
      <c r="S196" s="290" t="s">
        <v>695</v>
      </c>
      <c r="T196" s="22">
        <v>700</v>
      </c>
      <c r="U196" s="22">
        <v>2</v>
      </c>
      <c r="V196" s="347" t="s">
        <v>1372</v>
      </c>
      <c r="W196" s="88"/>
      <c r="X196" s="7" t="s">
        <v>1482</v>
      </c>
      <c r="Y196" s="88"/>
      <c r="Z196" s="7" t="s">
        <v>2151</v>
      </c>
      <c r="AA196" s="47" t="s">
        <v>2494</v>
      </c>
      <c r="AB196" s="47" t="s">
        <v>2493</v>
      </c>
      <c r="AC196" s="47" t="s">
        <v>2142</v>
      </c>
      <c r="AD196" s="47" t="s">
        <v>1920</v>
      </c>
      <c r="AE196" s="357" t="s">
        <v>2415</v>
      </c>
      <c r="AF196" s="92" t="s">
        <v>2416</v>
      </c>
      <c r="AG196" s="88" t="s">
        <v>2417</v>
      </c>
    </row>
    <row r="197" spans="1:89" s="391" customFormat="1" ht="31.2">
      <c r="A197" s="94">
        <f t="shared" si="7"/>
        <v>196</v>
      </c>
      <c r="B197" s="7" t="s">
        <v>1059</v>
      </c>
      <c r="C197" s="7" t="s">
        <v>1060</v>
      </c>
      <c r="D197" s="56" t="s">
        <v>111</v>
      </c>
      <c r="E197" s="33" t="s">
        <v>53</v>
      </c>
      <c r="F197" s="22" t="s">
        <v>145</v>
      </c>
      <c r="G197" s="22" t="s">
        <v>441</v>
      </c>
      <c r="H197" s="22" t="s">
        <v>286</v>
      </c>
      <c r="I197" s="7" t="s">
        <v>611</v>
      </c>
      <c r="J197" s="7" t="s">
        <v>568</v>
      </c>
      <c r="K197" s="88" t="s">
        <v>1070</v>
      </c>
      <c r="L197" s="7" t="s">
        <v>1061</v>
      </c>
      <c r="M197" s="7" t="s">
        <v>134</v>
      </c>
      <c r="N197" s="192">
        <v>45350</v>
      </c>
      <c r="O197" s="193" t="s">
        <v>1062</v>
      </c>
      <c r="P197" s="198" t="s">
        <v>1233</v>
      </c>
      <c r="Q197" s="323" t="s">
        <v>114</v>
      </c>
      <c r="R197" s="94" t="s">
        <v>139</v>
      </c>
      <c r="S197" s="188" t="s">
        <v>1241</v>
      </c>
      <c r="T197" s="191">
        <v>350</v>
      </c>
      <c r="U197" s="191">
        <v>1</v>
      </c>
      <c r="V197" s="190" t="s">
        <v>1380</v>
      </c>
      <c r="W197" s="7"/>
      <c r="X197" s="22" t="s">
        <v>1482</v>
      </c>
      <c r="Y197" s="88"/>
      <c r="Z197" s="7" t="s">
        <v>2155</v>
      </c>
      <c r="AA197" s="47" t="s">
        <v>2088</v>
      </c>
      <c r="AB197" s="47" t="s">
        <v>2089</v>
      </c>
      <c r="AC197" s="47" t="s">
        <v>2073</v>
      </c>
      <c r="AD197" s="47" t="s">
        <v>1920</v>
      </c>
      <c r="AE197" s="47"/>
      <c r="AF197" s="220" t="s">
        <v>2343</v>
      </c>
      <c r="AG197" s="220"/>
    </row>
    <row r="198" spans="1:89" s="391" customFormat="1" ht="17.399999999999999">
      <c r="A198" s="30">
        <f t="shared" si="7"/>
        <v>197</v>
      </c>
      <c r="B198" s="7" t="s">
        <v>1834</v>
      </c>
      <c r="C198" s="7" t="s">
        <v>1835</v>
      </c>
      <c r="D198" s="56" t="s">
        <v>111</v>
      </c>
      <c r="E198" s="33" t="s">
        <v>53</v>
      </c>
      <c r="F198" s="22" t="s">
        <v>145</v>
      </c>
      <c r="G198" s="22" t="s">
        <v>441</v>
      </c>
      <c r="H198" s="78" t="s">
        <v>992</v>
      </c>
      <c r="I198" s="7" t="s">
        <v>646</v>
      </c>
      <c r="J198" s="7" t="s">
        <v>569</v>
      </c>
      <c r="K198" s="88" t="s">
        <v>1836</v>
      </c>
      <c r="L198" s="7" t="s">
        <v>1837</v>
      </c>
      <c r="M198" s="7" t="s">
        <v>125</v>
      </c>
      <c r="N198" s="34">
        <v>46043</v>
      </c>
      <c r="O198" s="24">
        <v>45181</v>
      </c>
      <c r="P198" s="16" t="s">
        <v>1264</v>
      </c>
      <c r="Q198" s="72" t="s">
        <v>69</v>
      </c>
      <c r="R198" s="94" t="s">
        <v>40</v>
      </c>
      <c r="S198" s="94" t="s">
        <v>40</v>
      </c>
      <c r="T198" s="22">
        <v>700</v>
      </c>
      <c r="U198" s="22">
        <v>2</v>
      </c>
      <c r="V198" s="283" t="s">
        <v>1372</v>
      </c>
      <c r="W198" s="88"/>
      <c r="X198" s="7" t="s">
        <v>1482</v>
      </c>
      <c r="Y198" s="88"/>
      <c r="Z198" s="7" t="s">
        <v>2155</v>
      </c>
      <c r="AA198" s="47" t="s">
        <v>2136</v>
      </c>
      <c r="AB198" s="47" t="s">
        <v>2137</v>
      </c>
      <c r="AC198" s="47" t="s">
        <v>2138</v>
      </c>
      <c r="AD198" s="47" t="s">
        <v>1918</v>
      </c>
      <c r="AE198" s="47"/>
      <c r="AF198" s="92" t="s">
        <v>2409</v>
      </c>
      <c r="AG198" s="88" t="s">
        <v>2219</v>
      </c>
    </row>
    <row r="199" spans="1:89" s="391" customFormat="1" ht="31.2">
      <c r="A199" s="296">
        <f t="shared" si="7"/>
        <v>198</v>
      </c>
      <c r="B199" s="72" t="s">
        <v>926</v>
      </c>
      <c r="C199" s="50" t="s">
        <v>927</v>
      </c>
      <c r="D199" s="272" t="s">
        <v>111</v>
      </c>
      <c r="E199" s="91" t="s">
        <v>53</v>
      </c>
      <c r="F199" s="50" t="s">
        <v>145</v>
      </c>
      <c r="G199" s="50" t="s">
        <v>441</v>
      </c>
      <c r="H199" s="72" t="s">
        <v>779</v>
      </c>
      <c r="I199" s="66" t="s">
        <v>611</v>
      </c>
      <c r="J199" s="66" t="s">
        <v>568</v>
      </c>
      <c r="K199" s="297" t="s">
        <v>928</v>
      </c>
      <c r="L199" s="298" t="s">
        <v>929</v>
      </c>
      <c r="M199" s="72" t="s">
        <v>132</v>
      </c>
      <c r="N199" s="68">
        <v>45135</v>
      </c>
      <c r="O199" s="68" t="s">
        <v>930</v>
      </c>
      <c r="P199" s="68" t="s">
        <v>1235</v>
      </c>
      <c r="Q199" s="72" t="s">
        <v>69</v>
      </c>
      <c r="R199" s="296" t="s">
        <v>408</v>
      </c>
      <c r="S199" s="65" t="s">
        <v>1238</v>
      </c>
      <c r="T199" s="50">
        <v>700</v>
      </c>
      <c r="U199" s="50">
        <v>2</v>
      </c>
      <c r="V199" s="91"/>
      <c r="W199" s="300" t="s">
        <v>1491</v>
      </c>
      <c r="X199" s="299" t="s">
        <v>1482</v>
      </c>
      <c r="Y199" s="301"/>
      <c r="Z199" s="305" t="s">
        <v>2150</v>
      </c>
      <c r="AA199" s="47" t="s">
        <v>2062</v>
      </c>
      <c r="AB199" s="47" t="s">
        <v>2063</v>
      </c>
      <c r="AC199" s="47" t="s">
        <v>2064</v>
      </c>
      <c r="AD199" s="47" t="s">
        <v>1920</v>
      </c>
      <c r="AE199" s="47"/>
      <c r="AF199" s="302" t="s">
        <v>2376</v>
      </c>
      <c r="AG199" s="307"/>
    </row>
    <row r="200" spans="1:89" s="57" customFormat="1" ht="31.2">
      <c r="A200" s="296">
        <f t="shared" si="7"/>
        <v>199</v>
      </c>
      <c r="B200" s="72" t="s">
        <v>958</v>
      </c>
      <c r="C200" s="50" t="s">
        <v>959</v>
      </c>
      <c r="D200" s="272" t="s">
        <v>111</v>
      </c>
      <c r="E200" s="91" t="s">
        <v>53</v>
      </c>
      <c r="F200" s="50" t="s">
        <v>222</v>
      </c>
      <c r="G200" s="50" t="s">
        <v>441</v>
      </c>
      <c r="H200" s="72" t="s">
        <v>968</v>
      </c>
      <c r="I200" s="66" t="s">
        <v>575</v>
      </c>
      <c r="J200" s="66" t="s">
        <v>564</v>
      </c>
      <c r="K200" s="297" t="s">
        <v>961</v>
      </c>
      <c r="L200" s="298" t="s">
        <v>962</v>
      </c>
      <c r="M200" s="72" t="s">
        <v>55</v>
      </c>
      <c r="N200" s="68">
        <v>45168</v>
      </c>
      <c r="O200" s="68">
        <v>44799</v>
      </c>
      <c r="P200" s="68" t="s">
        <v>1235</v>
      </c>
      <c r="Q200" s="72" t="s">
        <v>69</v>
      </c>
      <c r="R200" s="299" t="s">
        <v>960</v>
      </c>
      <c r="S200" s="65" t="s">
        <v>1238</v>
      </c>
      <c r="T200" s="50">
        <v>700</v>
      </c>
      <c r="U200" s="50">
        <v>2</v>
      </c>
      <c r="V200" s="91"/>
      <c r="W200" s="300"/>
      <c r="X200" s="72" t="s">
        <v>1482</v>
      </c>
      <c r="Y200" s="301" t="s">
        <v>1489</v>
      </c>
      <c r="Z200" s="305" t="s">
        <v>2155</v>
      </c>
      <c r="AA200" s="47" t="s">
        <v>2069</v>
      </c>
      <c r="AB200" s="47" t="s">
        <v>2070</v>
      </c>
      <c r="AC200" s="47" t="s">
        <v>1919</v>
      </c>
      <c r="AD200" s="47" t="s">
        <v>1920</v>
      </c>
      <c r="AE200" s="47"/>
      <c r="AF200" s="302" t="s">
        <v>2376</v>
      </c>
      <c r="AG200" s="307"/>
    </row>
    <row r="201" spans="1:89" s="135" customFormat="1" ht="31.2">
      <c r="A201" s="30">
        <f t="shared" si="7"/>
        <v>200</v>
      </c>
      <c r="B201" s="78" t="s">
        <v>2191</v>
      </c>
      <c r="C201" s="22" t="s">
        <v>1022</v>
      </c>
      <c r="D201" s="56" t="s">
        <v>1008</v>
      </c>
      <c r="E201" s="33" t="s">
        <v>1009</v>
      </c>
      <c r="F201" s="22" t="s">
        <v>145</v>
      </c>
      <c r="G201" s="22" t="s">
        <v>441</v>
      </c>
      <c r="H201" s="78" t="s">
        <v>992</v>
      </c>
      <c r="I201" s="51" t="s">
        <v>667</v>
      </c>
      <c r="J201" s="51" t="s">
        <v>564</v>
      </c>
      <c r="K201" s="62" t="s">
        <v>1023</v>
      </c>
      <c r="L201" s="52" t="s">
        <v>1024</v>
      </c>
      <c r="M201" s="22" t="s">
        <v>110</v>
      </c>
      <c r="N201" s="27">
        <v>45309</v>
      </c>
      <c r="O201" s="27">
        <v>45225</v>
      </c>
      <c r="P201" s="27" t="s">
        <v>1235</v>
      </c>
      <c r="Q201" s="72" t="s">
        <v>69</v>
      </c>
      <c r="R201" s="94" t="s">
        <v>1012</v>
      </c>
      <c r="S201" s="94" t="s">
        <v>1242</v>
      </c>
      <c r="T201" s="22">
        <v>700</v>
      </c>
      <c r="U201" s="22">
        <v>2</v>
      </c>
      <c r="V201" s="273" t="s">
        <v>1378</v>
      </c>
      <c r="W201" s="220"/>
      <c r="X201" s="22" t="s">
        <v>1498</v>
      </c>
      <c r="Y201" s="220"/>
      <c r="Z201" s="14" t="s">
        <v>2151</v>
      </c>
      <c r="AA201" s="47" t="s">
        <v>2084</v>
      </c>
      <c r="AB201" s="47" t="s">
        <v>2490</v>
      </c>
      <c r="AC201" s="47" t="s">
        <v>1952</v>
      </c>
      <c r="AD201" s="47" t="s">
        <v>1920</v>
      </c>
      <c r="AE201" s="357"/>
      <c r="AF201" s="220"/>
      <c r="AG201" s="220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</row>
    <row r="202" spans="1:89" ht="34.799999999999997">
      <c r="A202" s="403">
        <f t="shared" si="7"/>
        <v>201</v>
      </c>
      <c r="B202" s="333" t="s">
        <v>1896</v>
      </c>
      <c r="C202" s="334" t="s">
        <v>1022</v>
      </c>
      <c r="D202" s="334" t="s">
        <v>111</v>
      </c>
      <c r="E202" s="335" t="s">
        <v>53</v>
      </c>
      <c r="F202" s="336" t="s">
        <v>136</v>
      </c>
      <c r="G202" s="336" t="s">
        <v>441</v>
      </c>
      <c r="H202" s="336" t="s">
        <v>992</v>
      </c>
      <c r="I202" s="333" t="s">
        <v>667</v>
      </c>
      <c r="J202" s="333" t="s">
        <v>564</v>
      </c>
      <c r="K202" s="337" t="s">
        <v>1897</v>
      </c>
      <c r="L202" s="333" t="s">
        <v>1898</v>
      </c>
      <c r="M202" s="333" t="s">
        <v>110</v>
      </c>
      <c r="N202" s="338">
        <v>46288</v>
      </c>
      <c r="O202" s="338">
        <v>46132</v>
      </c>
      <c r="P202" s="334" t="s">
        <v>1264</v>
      </c>
      <c r="Q202" s="336" t="s">
        <v>69</v>
      </c>
      <c r="R202" s="366" t="s">
        <v>882</v>
      </c>
      <c r="S202" s="366" t="s">
        <v>1899</v>
      </c>
      <c r="T202" s="336">
        <v>700</v>
      </c>
      <c r="U202" s="336">
        <v>2</v>
      </c>
      <c r="V202" s="374" t="s">
        <v>1372</v>
      </c>
      <c r="W202" s="340"/>
      <c r="X202" s="341" t="s">
        <v>1482</v>
      </c>
      <c r="Y202" s="340"/>
      <c r="Z202" s="341" t="s">
        <v>2155</v>
      </c>
      <c r="AA202" s="397" t="s">
        <v>2489</v>
      </c>
      <c r="AB202" s="397" t="s">
        <v>2490</v>
      </c>
      <c r="AC202" s="397" t="s">
        <v>2491</v>
      </c>
      <c r="AD202" s="397">
        <v>502</v>
      </c>
      <c r="AE202" s="398" t="s">
        <v>2291</v>
      </c>
      <c r="AF202" s="340" t="s">
        <v>2420</v>
      </c>
      <c r="AG202" s="340"/>
    </row>
    <row r="203" spans="1:89" ht="34.799999999999997">
      <c r="A203" s="403">
        <f t="shared" si="7"/>
        <v>202</v>
      </c>
      <c r="B203" s="341" t="s">
        <v>2192</v>
      </c>
      <c r="C203" s="342" t="s">
        <v>1900</v>
      </c>
      <c r="D203" s="342" t="s">
        <v>1901</v>
      </c>
      <c r="E203" s="343" t="s">
        <v>1213</v>
      </c>
      <c r="F203" s="344" t="s">
        <v>145</v>
      </c>
      <c r="G203" s="344" t="s">
        <v>441</v>
      </c>
      <c r="H203" s="344" t="s">
        <v>1902</v>
      </c>
      <c r="I203" s="341" t="s">
        <v>571</v>
      </c>
      <c r="J203" s="341" t="s">
        <v>571</v>
      </c>
      <c r="K203" s="340" t="s">
        <v>1903</v>
      </c>
      <c r="L203" s="341" t="s">
        <v>1904</v>
      </c>
      <c r="M203" s="341" t="s">
        <v>242</v>
      </c>
      <c r="N203" s="345">
        <v>46288</v>
      </c>
      <c r="O203" s="346" t="s">
        <v>1905</v>
      </c>
      <c r="P203" s="342" t="s">
        <v>1264</v>
      </c>
      <c r="Q203" s="344" t="s">
        <v>69</v>
      </c>
      <c r="R203" s="367" t="s">
        <v>882</v>
      </c>
      <c r="S203" s="367" t="s">
        <v>1899</v>
      </c>
      <c r="T203" s="344">
        <v>700</v>
      </c>
      <c r="U203" s="344">
        <v>4</v>
      </c>
      <c r="V203" s="375"/>
      <c r="W203" s="340"/>
      <c r="X203" s="341" t="s">
        <v>1482</v>
      </c>
      <c r="Y203" s="340"/>
      <c r="Z203" s="341" t="s">
        <v>2151</v>
      </c>
      <c r="AA203" s="397" t="s">
        <v>2144</v>
      </c>
      <c r="AB203" s="397" t="s">
        <v>2145</v>
      </c>
      <c r="AC203" s="397" t="s">
        <v>1952</v>
      </c>
      <c r="AD203" s="397" t="s">
        <v>1920</v>
      </c>
      <c r="AE203" s="398" t="s">
        <v>2486</v>
      </c>
      <c r="AF203" s="340" t="s">
        <v>2421</v>
      </c>
      <c r="AG203" s="340"/>
    </row>
    <row r="204" spans="1:89" s="49" customFormat="1" ht="31.2">
      <c r="A204" s="144">
        <f t="shared" si="7"/>
        <v>203</v>
      </c>
      <c r="B204" s="145" t="s">
        <v>109</v>
      </c>
      <c r="C204" s="148" t="s">
        <v>384</v>
      </c>
      <c r="D204" s="162" t="s">
        <v>112</v>
      </c>
      <c r="E204" s="145" t="s">
        <v>835</v>
      </c>
      <c r="F204" s="148" t="s">
        <v>145</v>
      </c>
      <c r="G204" s="148" t="s">
        <v>441</v>
      </c>
      <c r="H204" s="145" t="s">
        <v>12</v>
      </c>
      <c r="I204" s="148" t="s">
        <v>606</v>
      </c>
      <c r="J204" s="148" t="s">
        <v>569</v>
      </c>
      <c r="K204" s="163" t="s">
        <v>793</v>
      </c>
      <c r="L204" s="148" t="s">
        <v>794</v>
      </c>
      <c r="M204" s="148" t="s">
        <v>125</v>
      </c>
      <c r="N204" s="164">
        <v>38793</v>
      </c>
      <c r="O204" s="164" t="s">
        <v>796</v>
      </c>
      <c r="P204" s="148" t="s">
        <v>1233</v>
      </c>
      <c r="Q204" s="150" t="s">
        <v>153</v>
      </c>
      <c r="R204" s="144" t="s">
        <v>795</v>
      </c>
      <c r="S204" s="213"/>
      <c r="T204" s="145" t="s">
        <v>149</v>
      </c>
      <c r="U204" s="214">
        <v>1</v>
      </c>
      <c r="V204" s="150" t="s">
        <v>1433</v>
      </c>
      <c r="W204" s="148"/>
      <c r="X204" s="171" t="s">
        <v>1502</v>
      </c>
      <c r="Y204" s="179" t="s">
        <v>1480</v>
      </c>
      <c r="Z204" s="145" t="s">
        <v>2155</v>
      </c>
      <c r="AA204" s="254"/>
      <c r="AB204" s="254"/>
      <c r="AC204" s="254"/>
      <c r="AD204" s="254"/>
      <c r="AE204" s="254"/>
      <c r="AF204" s="215" t="s">
        <v>1555</v>
      </c>
      <c r="AG204" s="175"/>
    </row>
    <row r="205" spans="1:89" ht="17.399999999999999">
      <c r="A205" s="144">
        <f t="shared" si="7"/>
        <v>204</v>
      </c>
      <c r="B205" s="145" t="s">
        <v>277</v>
      </c>
      <c r="C205" s="145" t="s">
        <v>1138</v>
      </c>
      <c r="D205" s="144" t="s">
        <v>111</v>
      </c>
      <c r="E205" s="145" t="s">
        <v>4</v>
      </c>
      <c r="F205" s="145" t="s">
        <v>142</v>
      </c>
      <c r="G205" s="145" t="s">
        <v>441</v>
      </c>
      <c r="H205" s="145" t="s">
        <v>401</v>
      </c>
      <c r="I205" s="146" t="str">
        <f>LEFT(K205,2)</f>
        <v>경기</v>
      </c>
      <c r="J205" s="146" t="s">
        <v>565</v>
      </c>
      <c r="K205" s="147" t="s">
        <v>23</v>
      </c>
      <c r="L205" s="148" t="s">
        <v>170</v>
      </c>
      <c r="M205" s="145" t="s">
        <v>7</v>
      </c>
      <c r="N205" s="149">
        <v>40343</v>
      </c>
      <c r="O205" s="149">
        <v>40136</v>
      </c>
      <c r="P205" s="149" t="s">
        <v>1233</v>
      </c>
      <c r="Q205" s="150" t="s">
        <v>153</v>
      </c>
      <c r="R205" s="144" t="s">
        <v>9</v>
      </c>
      <c r="S205" s="213"/>
      <c r="T205" s="145">
        <v>700</v>
      </c>
      <c r="U205" s="214">
        <v>1</v>
      </c>
      <c r="V205" s="216" t="s">
        <v>1434</v>
      </c>
      <c r="W205" s="148"/>
      <c r="X205" s="148" t="s">
        <v>1482</v>
      </c>
      <c r="Y205" s="163"/>
      <c r="Z205" s="148" t="s">
        <v>2155</v>
      </c>
      <c r="AA205" s="254" t="s">
        <v>1767</v>
      </c>
      <c r="AB205" s="254"/>
      <c r="AC205" s="254"/>
      <c r="AD205" s="254"/>
      <c r="AE205" s="390"/>
      <c r="AF205" s="179" t="s">
        <v>2195</v>
      </c>
      <c r="AG205" s="175"/>
    </row>
    <row r="206" spans="1:89" ht="62.4">
      <c r="A206" s="74">
        <f t="shared" si="7"/>
        <v>205</v>
      </c>
      <c r="B206" s="48" t="s">
        <v>826</v>
      </c>
      <c r="C206" s="48" t="s">
        <v>345</v>
      </c>
      <c r="D206" s="97" t="s">
        <v>111</v>
      </c>
      <c r="E206" s="48" t="s">
        <v>53</v>
      </c>
      <c r="F206" s="48" t="s">
        <v>136</v>
      </c>
      <c r="G206" s="48" t="s">
        <v>441</v>
      </c>
      <c r="H206" s="48" t="s">
        <v>402</v>
      </c>
      <c r="I206" s="86" t="s">
        <v>594</v>
      </c>
      <c r="J206" s="86" t="s">
        <v>568</v>
      </c>
      <c r="K206" s="117" t="s">
        <v>811</v>
      </c>
      <c r="L206" s="76" t="s">
        <v>141</v>
      </c>
      <c r="M206" s="48" t="s">
        <v>134</v>
      </c>
      <c r="N206" s="115">
        <v>44172</v>
      </c>
      <c r="O206" s="115" t="s">
        <v>825</v>
      </c>
      <c r="P206" s="115" t="s">
        <v>1233</v>
      </c>
      <c r="Q206" s="48" t="s">
        <v>69</v>
      </c>
      <c r="R206" s="48" t="s">
        <v>40</v>
      </c>
      <c r="S206" s="74" t="s">
        <v>1237</v>
      </c>
      <c r="T206" s="48">
        <v>700</v>
      </c>
      <c r="U206" s="246">
        <v>2</v>
      </c>
      <c r="V206" s="247" t="s">
        <v>1348</v>
      </c>
      <c r="W206" s="48"/>
      <c r="X206" s="48" t="s">
        <v>1482</v>
      </c>
      <c r="Y206" s="125" t="s">
        <v>1489</v>
      </c>
      <c r="Z206" s="123" t="s">
        <v>2151</v>
      </c>
      <c r="AA206" s="392" t="s">
        <v>1944</v>
      </c>
      <c r="AB206" s="392"/>
      <c r="AC206" s="392" t="s">
        <v>1938</v>
      </c>
      <c r="AD206" s="392" t="s">
        <v>1945</v>
      </c>
      <c r="AE206" s="392"/>
      <c r="AF206" s="156" t="s">
        <v>2235</v>
      </c>
      <c r="AG206" s="161" t="s">
        <v>1852</v>
      </c>
    </row>
    <row r="207" spans="1:89" ht="31.2">
      <c r="A207" s="74">
        <f t="shared" si="7"/>
        <v>206</v>
      </c>
      <c r="B207" s="48" t="s">
        <v>687</v>
      </c>
      <c r="C207" s="171" t="s">
        <v>688</v>
      </c>
      <c r="D207" s="171" t="s">
        <v>111</v>
      </c>
      <c r="E207" s="171" t="s">
        <v>53</v>
      </c>
      <c r="F207" s="171" t="s">
        <v>145</v>
      </c>
      <c r="G207" s="171" t="s">
        <v>441</v>
      </c>
      <c r="H207" s="48" t="s">
        <v>690</v>
      </c>
      <c r="I207" s="146" t="s">
        <v>711</v>
      </c>
      <c r="J207" s="146" t="s">
        <v>569</v>
      </c>
      <c r="K207" s="83" t="s">
        <v>765</v>
      </c>
      <c r="L207" s="80" t="s">
        <v>689</v>
      </c>
      <c r="M207" s="48" t="s">
        <v>125</v>
      </c>
      <c r="N207" s="184">
        <v>44778</v>
      </c>
      <c r="O207" s="185">
        <v>44651</v>
      </c>
      <c r="P207" s="185" t="s">
        <v>1233</v>
      </c>
      <c r="Q207" s="63" t="s">
        <v>114</v>
      </c>
      <c r="R207" s="74" t="s">
        <v>1448</v>
      </c>
      <c r="S207" s="162" t="s">
        <v>119</v>
      </c>
      <c r="T207" s="162">
        <v>350</v>
      </c>
      <c r="U207" s="162">
        <v>1</v>
      </c>
      <c r="V207" s="181" t="s">
        <v>1442</v>
      </c>
      <c r="W207" s="248"/>
      <c r="X207" s="48" t="s">
        <v>1502</v>
      </c>
      <c r="Y207" s="249"/>
      <c r="Z207" s="248" t="s">
        <v>2150</v>
      </c>
      <c r="AA207" s="392" t="s">
        <v>2011</v>
      </c>
      <c r="AB207" s="392"/>
      <c r="AC207" s="392"/>
      <c r="AD207" s="392"/>
      <c r="AE207" s="392"/>
      <c r="AF207" s="233" t="s">
        <v>1555</v>
      </c>
      <c r="AG207" s="161"/>
    </row>
    <row r="208" spans="1:89" ht="31.2">
      <c r="A208" s="74">
        <f t="shared" si="7"/>
        <v>207</v>
      </c>
      <c r="B208" s="48" t="s">
        <v>691</v>
      </c>
      <c r="C208" s="48" t="s">
        <v>339</v>
      </c>
      <c r="D208" s="48" t="s">
        <v>320</v>
      </c>
      <c r="E208" s="48" t="s">
        <v>320</v>
      </c>
      <c r="F208" s="48" t="s">
        <v>320</v>
      </c>
      <c r="G208" s="48" t="s">
        <v>441</v>
      </c>
      <c r="H208" s="82" t="s">
        <v>1403</v>
      </c>
      <c r="I208" s="86" t="s">
        <v>646</v>
      </c>
      <c r="J208" s="86" t="s">
        <v>569</v>
      </c>
      <c r="K208" s="83" t="s">
        <v>692</v>
      </c>
      <c r="L208" s="80" t="s">
        <v>693</v>
      </c>
      <c r="M208" s="48" t="s">
        <v>101</v>
      </c>
      <c r="N208" s="115">
        <v>44785</v>
      </c>
      <c r="O208" s="128">
        <v>44538</v>
      </c>
      <c r="P208" s="128" t="s">
        <v>1233</v>
      </c>
      <c r="Q208" s="48" t="s">
        <v>69</v>
      </c>
      <c r="R208" s="74" t="s">
        <v>695</v>
      </c>
      <c r="S208" s="74" t="s">
        <v>1238</v>
      </c>
      <c r="T208" s="48">
        <v>350</v>
      </c>
      <c r="U208" s="121">
        <v>1</v>
      </c>
      <c r="V208" s="80" t="s">
        <v>1368</v>
      </c>
      <c r="W208" s="248" t="s">
        <v>1491</v>
      </c>
      <c r="X208" s="48" t="s">
        <v>1510</v>
      </c>
      <c r="Y208" s="249"/>
      <c r="Z208" s="248" t="s">
        <v>2155</v>
      </c>
      <c r="AA208" s="392" t="s">
        <v>2012</v>
      </c>
      <c r="AB208" s="392"/>
      <c r="AC208" s="392"/>
      <c r="AD208" s="392"/>
      <c r="AE208" s="392"/>
      <c r="AF208" s="233" t="s">
        <v>320</v>
      </c>
      <c r="AG208" s="161"/>
    </row>
    <row r="209" spans="1:89" ht="17.399999999999999">
      <c r="A209" s="144">
        <f t="shared" si="7"/>
        <v>208</v>
      </c>
      <c r="B209" s="171" t="s">
        <v>771</v>
      </c>
      <c r="C209" s="171" t="s">
        <v>772</v>
      </c>
      <c r="D209" s="171" t="s">
        <v>320</v>
      </c>
      <c r="E209" s="171" t="s">
        <v>320</v>
      </c>
      <c r="F209" s="171" t="s">
        <v>320</v>
      </c>
      <c r="G209" s="171" t="s">
        <v>441</v>
      </c>
      <c r="H209" s="171" t="s">
        <v>776</v>
      </c>
      <c r="I209" s="146" t="s">
        <v>677</v>
      </c>
      <c r="J209" s="146" t="s">
        <v>569</v>
      </c>
      <c r="K209" s="172" t="s">
        <v>773</v>
      </c>
      <c r="L209" s="174" t="s">
        <v>774</v>
      </c>
      <c r="M209" s="171" t="s">
        <v>56</v>
      </c>
      <c r="N209" s="184">
        <v>44862</v>
      </c>
      <c r="O209" s="185">
        <v>44291</v>
      </c>
      <c r="P209" s="185" t="s">
        <v>1233</v>
      </c>
      <c r="Q209" s="171" t="s">
        <v>69</v>
      </c>
      <c r="R209" s="144" t="s">
        <v>699</v>
      </c>
      <c r="S209" s="144" t="s">
        <v>699</v>
      </c>
      <c r="T209" s="171">
        <v>700</v>
      </c>
      <c r="U209" s="171">
        <v>1</v>
      </c>
      <c r="V209" s="266" t="s">
        <v>1438</v>
      </c>
      <c r="W209" s="175"/>
      <c r="X209" s="171" t="s">
        <v>1510</v>
      </c>
      <c r="Y209" s="163" t="s">
        <v>1489</v>
      </c>
      <c r="Z209" s="148" t="s">
        <v>2150</v>
      </c>
      <c r="AA209" s="254" t="s">
        <v>2030</v>
      </c>
      <c r="AB209" s="254"/>
      <c r="AC209" s="254"/>
      <c r="AD209" s="254"/>
      <c r="AE209" s="254"/>
      <c r="AF209" s="262"/>
      <c r="AG209" s="215" t="s">
        <v>1481</v>
      </c>
    </row>
    <row r="210" spans="1:89" ht="46.8">
      <c r="A210" s="144">
        <f t="shared" si="7"/>
        <v>209</v>
      </c>
      <c r="B210" s="171" t="s">
        <v>2168</v>
      </c>
      <c r="C210" s="107" t="s">
        <v>520</v>
      </c>
      <c r="D210" s="107" t="s">
        <v>1281</v>
      </c>
      <c r="E210" s="107" t="s">
        <v>113</v>
      </c>
      <c r="F210" s="107" t="s">
        <v>785</v>
      </c>
      <c r="G210" s="107" t="s">
        <v>441</v>
      </c>
      <c r="H210" s="171" t="s">
        <v>630</v>
      </c>
      <c r="I210" s="109" t="s">
        <v>565</v>
      </c>
      <c r="J210" s="109" t="s">
        <v>565</v>
      </c>
      <c r="K210" s="172" t="s">
        <v>786</v>
      </c>
      <c r="L210" s="174" t="s">
        <v>787</v>
      </c>
      <c r="M210" s="171" t="s">
        <v>116</v>
      </c>
      <c r="N210" s="111">
        <v>44893</v>
      </c>
      <c r="O210" s="111" t="s">
        <v>788</v>
      </c>
      <c r="P210" s="111" t="s">
        <v>1233</v>
      </c>
      <c r="Q210" s="171" t="s">
        <v>69</v>
      </c>
      <c r="R210" s="144" t="s">
        <v>789</v>
      </c>
      <c r="S210" s="176" t="s">
        <v>1238</v>
      </c>
      <c r="T210" s="107">
        <v>700</v>
      </c>
      <c r="U210" s="107">
        <v>1</v>
      </c>
      <c r="V210" s="267" t="s">
        <v>1439</v>
      </c>
      <c r="W210" s="261" t="s">
        <v>1493</v>
      </c>
      <c r="X210" s="171" t="s">
        <v>1482</v>
      </c>
      <c r="Y210" s="163" t="s">
        <v>1489</v>
      </c>
      <c r="Z210" s="148" t="s">
        <v>2151</v>
      </c>
      <c r="AA210" s="254" t="s">
        <v>2033</v>
      </c>
      <c r="AB210" s="254"/>
      <c r="AC210" s="254"/>
      <c r="AD210" s="254"/>
      <c r="AE210" s="254"/>
      <c r="AF210" s="215"/>
      <c r="AG210" s="215" t="s">
        <v>1494</v>
      </c>
    </row>
    <row r="211" spans="1:89" ht="46.8">
      <c r="A211" s="144">
        <f t="shared" si="7"/>
        <v>210</v>
      </c>
      <c r="B211" s="171" t="s">
        <v>799</v>
      </c>
      <c r="C211" s="107" t="s">
        <v>800</v>
      </c>
      <c r="D211" s="107" t="s">
        <v>111</v>
      </c>
      <c r="E211" s="107" t="s">
        <v>53</v>
      </c>
      <c r="F211" s="107" t="s">
        <v>145</v>
      </c>
      <c r="G211" s="107" t="s">
        <v>441</v>
      </c>
      <c r="H211" s="171" t="s">
        <v>408</v>
      </c>
      <c r="I211" s="109" t="s">
        <v>611</v>
      </c>
      <c r="J211" s="109" t="s">
        <v>568</v>
      </c>
      <c r="K211" s="172" t="s">
        <v>801</v>
      </c>
      <c r="L211" s="174" t="s">
        <v>802</v>
      </c>
      <c r="M211" s="171" t="s">
        <v>132</v>
      </c>
      <c r="N211" s="111">
        <v>44923</v>
      </c>
      <c r="O211" s="111">
        <v>44536</v>
      </c>
      <c r="P211" s="111" t="s">
        <v>1233</v>
      </c>
      <c r="Q211" s="171" t="s">
        <v>69</v>
      </c>
      <c r="R211" s="144" t="s">
        <v>871</v>
      </c>
      <c r="S211" s="176" t="s">
        <v>871</v>
      </c>
      <c r="T211" s="107">
        <v>700</v>
      </c>
      <c r="U211" s="107">
        <v>1</v>
      </c>
      <c r="V211" s="268" t="s">
        <v>1372</v>
      </c>
      <c r="W211" s="261"/>
      <c r="X211" s="171" t="s">
        <v>1482</v>
      </c>
      <c r="Y211" s="163" t="s">
        <v>1489</v>
      </c>
      <c r="Z211" s="148" t="s">
        <v>2150</v>
      </c>
      <c r="AA211" s="254" t="s">
        <v>2034</v>
      </c>
      <c r="AB211" s="254"/>
      <c r="AC211" s="254"/>
      <c r="AD211" s="254"/>
      <c r="AE211" s="254"/>
      <c r="AF211" s="215"/>
      <c r="AG211" s="215" t="s">
        <v>1494</v>
      </c>
    </row>
    <row r="212" spans="1:89" ht="31.2">
      <c r="A212" s="144">
        <f t="shared" si="7"/>
        <v>211</v>
      </c>
      <c r="B212" s="171" t="s">
        <v>2176</v>
      </c>
      <c r="C212" s="171" t="s">
        <v>859</v>
      </c>
      <c r="D212" s="171" t="s">
        <v>111</v>
      </c>
      <c r="E212" s="171" t="s">
        <v>53</v>
      </c>
      <c r="F212" s="171" t="s">
        <v>145</v>
      </c>
      <c r="G212" s="171" t="s">
        <v>441</v>
      </c>
      <c r="H212" s="171" t="s">
        <v>860</v>
      </c>
      <c r="I212" s="146" t="s">
        <v>575</v>
      </c>
      <c r="J212" s="146" t="s">
        <v>564</v>
      </c>
      <c r="K212" s="172" t="s">
        <v>861</v>
      </c>
      <c r="L212" s="174" t="s">
        <v>862</v>
      </c>
      <c r="M212" s="171" t="s">
        <v>251</v>
      </c>
      <c r="N212" s="184">
        <v>45021</v>
      </c>
      <c r="O212" s="184">
        <v>44869</v>
      </c>
      <c r="P212" s="184" t="s">
        <v>1233</v>
      </c>
      <c r="Q212" s="113" t="s">
        <v>114</v>
      </c>
      <c r="R212" s="144" t="s">
        <v>139</v>
      </c>
      <c r="S212" s="144" t="s">
        <v>1238</v>
      </c>
      <c r="T212" s="171">
        <v>700</v>
      </c>
      <c r="U212" s="171">
        <v>1</v>
      </c>
      <c r="V212" s="270" t="s">
        <v>1880</v>
      </c>
      <c r="W212" s="261"/>
      <c r="X212" s="171" t="s">
        <v>1502</v>
      </c>
      <c r="Y212" s="163" t="s">
        <v>1489</v>
      </c>
      <c r="Z212" s="148" t="s">
        <v>2151</v>
      </c>
      <c r="AA212" s="254" t="s">
        <v>2046</v>
      </c>
      <c r="AB212" s="254"/>
      <c r="AC212" s="254"/>
      <c r="AD212" s="254"/>
      <c r="AE212" s="254"/>
      <c r="AF212" s="179" t="s">
        <v>1555</v>
      </c>
      <c r="AG212" s="175"/>
    </row>
    <row r="213" spans="1:89" ht="31.2">
      <c r="A213" s="412">
        <f t="shared" si="7"/>
        <v>212</v>
      </c>
      <c r="B213" s="48" t="s">
        <v>986</v>
      </c>
      <c r="C213" s="123" t="s">
        <v>340</v>
      </c>
      <c r="D213" s="124" t="s">
        <v>424</v>
      </c>
      <c r="E213" s="82" t="s">
        <v>713</v>
      </c>
      <c r="F213" s="48" t="s">
        <v>145</v>
      </c>
      <c r="G213" s="48" t="s">
        <v>441</v>
      </c>
      <c r="H213" s="48" t="s">
        <v>408</v>
      </c>
      <c r="I213" s="86" t="s">
        <v>572</v>
      </c>
      <c r="J213" s="86" t="s">
        <v>568</v>
      </c>
      <c r="K213" s="83" t="s">
        <v>1002</v>
      </c>
      <c r="L213" s="80" t="s">
        <v>1000</v>
      </c>
      <c r="M213" s="48" t="s">
        <v>86</v>
      </c>
      <c r="N213" s="115">
        <v>45261</v>
      </c>
      <c r="O213" s="115" t="s">
        <v>1001</v>
      </c>
      <c r="P213" s="115" t="s">
        <v>1233</v>
      </c>
      <c r="Q213" s="48" t="s">
        <v>69</v>
      </c>
      <c r="R213" s="74" t="s">
        <v>699</v>
      </c>
      <c r="S213" s="74" t="s">
        <v>695</v>
      </c>
      <c r="T213" s="48">
        <v>700</v>
      </c>
      <c r="U213" s="48">
        <v>1</v>
      </c>
      <c r="V213" s="103" t="s">
        <v>1377</v>
      </c>
      <c r="W213" s="248"/>
      <c r="X213" s="48" t="s">
        <v>1502</v>
      </c>
      <c r="Y213" s="249"/>
      <c r="Z213" s="248" t="s">
        <v>2155</v>
      </c>
      <c r="AA213" s="392"/>
      <c r="AB213" s="392"/>
      <c r="AC213" s="392"/>
      <c r="AD213" s="392"/>
      <c r="AE213" s="392"/>
      <c r="AF213" s="249"/>
      <c r="AG213" s="233" t="s">
        <v>1866</v>
      </c>
    </row>
    <row r="214" spans="1:89" ht="31.2">
      <c r="A214" s="413">
        <f t="shared" si="7"/>
        <v>213</v>
      </c>
      <c r="B214" s="78" t="s">
        <v>1006</v>
      </c>
      <c r="C214" s="22" t="s">
        <v>1007</v>
      </c>
      <c r="D214" s="56" t="s">
        <v>1008</v>
      </c>
      <c r="E214" s="33" t="s">
        <v>1009</v>
      </c>
      <c r="F214" s="22" t="s">
        <v>145</v>
      </c>
      <c r="G214" s="22" t="s">
        <v>441</v>
      </c>
      <c r="H214" s="78" t="s">
        <v>992</v>
      </c>
      <c r="I214" s="51" t="s">
        <v>766</v>
      </c>
      <c r="J214" s="51" t="s">
        <v>564</v>
      </c>
      <c r="K214" s="62" t="s">
        <v>1010</v>
      </c>
      <c r="L214" s="52" t="s">
        <v>1011</v>
      </c>
      <c r="M214" s="22" t="s">
        <v>57</v>
      </c>
      <c r="N214" s="27">
        <v>45289</v>
      </c>
      <c r="O214" s="27" t="s">
        <v>1013</v>
      </c>
      <c r="P214" s="27" t="s">
        <v>1235</v>
      </c>
      <c r="Q214" s="72" t="s">
        <v>69</v>
      </c>
      <c r="R214" s="94" t="s">
        <v>1012</v>
      </c>
      <c r="S214" s="94" t="s">
        <v>1242</v>
      </c>
      <c r="T214" s="22">
        <v>700</v>
      </c>
      <c r="U214" s="22">
        <v>2</v>
      </c>
      <c r="V214" s="273" t="s">
        <v>1378</v>
      </c>
      <c r="W214" s="221"/>
      <c r="X214" s="22" t="s">
        <v>1498</v>
      </c>
      <c r="Y214" s="222"/>
      <c r="Z214" s="221" t="s">
        <v>2504</v>
      </c>
      <c r="AA214" s="47"/>
      <c r="AB214" s="47"/>
      <c r="AC214" s="47"/>
      <c r="AD214" s="47"/>
      <c r="AE214" s="47"/>
      <c r="AF214" s="8"/>
      <c r="AG214" s="222"/>
    </row>
    <row r="215" spans="1:89" s="49" customFormat="1" ht="17.399999999999999">
      <c r="A215" s="413">
        <f t="shared" si="7"/>
        <v>214</v>
      </c>
      <c r="B215" s="78" t="s">
        <v>1025</v>
      </c>
      <c r="C215" s="22" t="s">
        <v>1026</v>
      </c>
      <c r="D215" s="56" t="s">
        <v>1008</v>
      </c>
      <c r="E215" s="33" t="s">
        <v>1009</v>
      </c>
      <c r="F215" s="22" t="s">
        <v>145</v>
      </c>
      <c r="G215" s="22" t="s">
        <v>441</v>
      </c>
      <c r="H215" s="78" t="s">
        <v>992</v>
      </c>
      <c r="I215" s="51" t="s">
        <v>572</v>
      </c>
      <c r="J215" s="51" t="s">
        <v>568</v>
      </c>
      <c r="K215" s="62" t="s">
        <v>1028</v>
      </c>
      <c r="L215" s="52" t="s">
        <v>1027</v>
      </c>
      <c r="M215" s="22" t="s">
        <v>86</v>
      </c>
      <c r="N215" s="27">
        <v>45314</v>
      </c>
      <c r="O215" s="27">
        <v>45223</v>
      </c>
      <c r="P215" s="27" t="s">
        <v>1235</v>
      </c>
      <c r="Q215" s="72" t="s">
        <v>69</v>
      </c>
      <c r="R215" s="94" t="s">
        <v>1012</v>
      </c>
      <c r="S215" s="94" t="s">
        <v>1242</v>
      </c>
      <c r="T215" s="22">
        <v>700</v>
      </c>
      <c r="U215" s="22">
        <v>2</v>
      </c>
      <c r="V215" s="273" t="s">
        <v>1378</v>
      </c>
      <c r="W215" s="220"/>
      <c r="X215" s="22" t="s">
        <v>1498</v>
      </c>
      <c r="Y215" s="220"/>
      <c r="Z215" s="14" t="s">
        <v>2155</v>
      </c>
      <c r="AA215" s="47"/>
      <c r="AB215" s="47"/>
      <c r="AC215" s="47"/>
      <c r="AD215" s="47"/>
      <c r="AE215" s="47"/>
      <c r="AF215" s="220"/>
      <c r="AG215" s="220"/>
    </row>
    <row r="216" spans="1:89" ht="31.2">
      <c r="A216" s="413">
        <f t="shared" si="7"/>
        <v>215</v>
      </c>
      <c r="B216" s="22" t="s">
        <v>1029</v>
      </c>
      <c r="C216" s="22" t="s">
        <v>450</v>
      </c>
      <c r="D216" s="56" t="s">
        <v>1008</v>
      </c>
      <c r="E216" s="33" t="s">
        <v>1009</v>
      </c>
      <c r="F216" s="22" t="s">
        <v>145</v>
      </c>
      <c r="G216" s="22" t="s">
        <v>441</v>
      </c>
      <c r="H216" s="78" t="s">
        <v>992</v>
      </c>
      <c r="I216" s="51" t="s">
        <v>571</v>
      </c>
      <c r="J216" s="51" t="s">
        <v>571</v>
      </c>
      <c r="K216" s="62" t="s">
        <v>1030</v>
      </c>
      <c r="L216" s="52" t="s">
        <v>1031</v>
      </c>
      <c r="M216" s="22" t="s">
        <v>242</v>
      </c>
      <c r="N216" s="27">
        <v>45315</v>
      </c>
      <c r="O216" s="27" t="s">
        <v>1013</v>
      </c>
      <c r="P216" s="27" t="s">
        <v>1235</v>
      </c>
      <c r="Q216" s="72" t="s">
        <v>69</v>
      </c>
      <c r="R216" s="94" t="s">
        <v>1012</v>
      </c>
      <c r="S216" s="94" t="s">
        <v>1238</v>
      </c>
      <c r="T216" s="22">
        <v>700</v>
      </c>
      <c r="U216" s="22">
        <v>2</v>
      </c>
      <c r="V216" s="273" t="s">
        <v>1378</v>
      </c>
      <c r="W216" s="220"/>
      <c r="X216" s="22" t="s">
        <v>1498</v>
      </c>
      <c r="Y216" s="220"/>
      <c r="Z216" s="14" t="s">
        <v>2504</v>
      </c>
      <c r="AA216" s="47"/>
      <c r="AB216" s="47"/>
      <c r="AC216" s="47"/>
      <c r="AD216" s="47"/>
      <c r="AE216" s="47"/>
      <c r="AF216" s="220"/>
      <c r="AG216" s="220"/>
    </row>
    <row r="217" spans="1:89" ht="31.2">
      <c r="A217" s="413">
        <f t="shared" si="7"/>
        <v>216</v>
      </c>
      <c r="B217" s="78" t="s">
        <v>1032</v>
      </c>
      <c r="C217" s="22" t="s">
        <v>1033</v>
      </c>
      <c r="D217" s="56" t="s">
        <v>1008</v>
      </c>
      <c r="E217" s="33" t="s">
        <v>1009</v>
      </c>
      <c r="F217" s="22" t="s">
        <v>145</v>
      </c>
      <c r="G217" s="22" t="s">
        <v>441</v>
      </c>
      <c r="H217" s="78" t="s">
        <v>992</v>
      </c>
      <c r="I217" s="51" t="s">
        <v>677</v>
      </c>
      <c r="J217" s="51" t="s">
        <v>569</v>
      </c>
      <c r="K217" s="62" t="s">
        <v>1039</v>
      </c>
      <c r="L217" s="52" t="s">
        <v>1037</v>
      </c>
      <c r="M217" s="22" t="s">
        <v>80</v>
      </c>
      <c r="N217" s="27">
        <v>45320</v>
      </c>
      <c r="O217" s="27" t="s">
        <v>1013</v>
      </c>
      <c r="P217" s="27" t="s">
        <v>1235</v>
      </c>
      <c r="Q217" s="72" t="s">
        <v>69</v>
      </c>
      <c r="R217" s="94" t="s">
        <v>1012</v>
      </c>
      <c r="S217" s="94" t="s">
        <v>1242</v>
      </c>
      <c r="T217" s="22">
        <v>700</v>
      </c>
      <c r="U217" s="22">
        <v>4</v>
      </c>
      <c r="V217" s="273" t="s">
        <v>1378</v>
      </c>
      <c r="W217" s="220"/>
      <c r="X217" s="22" t="s">
        <v>1498</v>
      </c>
      <c r="Y217" s="220"/>
      <c r="Z217" s="14" t="s">
        <v>2155</v>
      </c>
      <c r="AA217" s="47"/>
      <c r="AB217" s="47"/>
      <c r="AC217" s="47"/>
      <c r="AD217" s="47"/>
      <c r="AE217" s="47"/>
      <c r="AF217" s="220"/>
      <c r="AG217" s="220"/>
    </row>
    <row r="218" spans="1:89" ht="17.399999999999999">
      <c r="A218" s="414">
        <f t="shared" si="7"/>
        <v>217</v>
      </c>
      <c r="B218" s="131" t="s">
        <v>1034</v>
      </c>
      <c r="C218" s="131" t="s">
        <v>982</v>
      </c>
      <c r="D218" s="137" t="s">
        <v>1008</v>
      </c>
      <c r="E218" s="138" t="s">
        <v>1009</v>
      </c>
      <c r="F218" s="107" t="s">
        <v>145</v>
      </c>
      <c r="G218" s="107" t="s">
        <v>441</v>
      </c>
      <c r="H218" s="139" t="s">
        <v>992</v>
      </c>
      <c r="I218" s="109" t="s">
        <v>677</v>
      </c>
      <c r="J218" s="109" t="s">
        <v>569</v>
      </c>
      <c r="K218" s="153" t="s">
        <v>1041</v>
      </c>
      <c r="L218" s="131" t="s">
        <v>1040</v>
      </c>
      <c r="M218" s="134" t="s">
        <v>80</v>
      </c>
      <c r="N218" s="111">
        <v>45320</v>
      </c>
      <c r="O218" s="140">
        <v>45223</v>
      </c>
      <c r="P218" s="140" t="s">
        <v>1235</v>
      </c>
      <c r="Q218" s="143" t="s">
        <v>69</v>
      </c>
      <c r="R218" s="176" t="s">
        <v>1012</v>
      </c>
      <c r="S218" s="176" t="s">
        <v>871</v>
      </c>
      <c r="T218" s="107">
        <v>700</v>
      </c>
      <c r="U218" s="107">
        <v>2</v>
      </c>
      <c r="V218" s="277" t="s">
        <v>1443</v>
      </c>
      <c r="W218" s="153"/>
      <c r="X218" s="107" t="s">
        <v>1498</v>
      </c>
      <c r="Y218" s="153"/>
      <c r="Z218" s="134" t="s">
        <v>2155</v>
      </c>
      <c r="AA218" s="254"/>
      <c r="AB218" s="254"/>
      <c r="AC218" s="254"/>
      <c r="AD218" s="254"/>
      <c r="AE218" s="254"/>
      <c r="AF218" s="153"/>
      <c r="AG218" s="153"/>
    </row>
    <row r="219" spans="1:89" ht="17.399999999999999">
      <c r="A219" s="413">
        <f t="shared" si="7"/>
        <v>218</v>
      </c>
      <c r="B219" s="7" t="s">
        <v>1035</v>
      </c>
      <c r="C219" s="7" t="s">
        <v>1036</v>
      </c>
      <c r="D219" s="56" t="s">
        <v>1008</v>
      </c>
      <c r="E219" s="33" t="s">
        <v>1009</v>
      </c>
      <c r="F219" s="22" t="s">
        <v>145</v>
      </c>
      <c r="G219" s="22" t="s">
        <v>441</v>
      </c>
      <c r="H219" s="78" t="s">
        <v>992</v>
      </c>
      <c r="I219" s="7" t="s">
        <v>565</v>
      </c>
      <c r="J219" s="7" t="s">
        <v>565</v>
      </c>
      <c r="K219" s="88" t="s">
        <v>1044</v>
      </c>
      <c r="L219" s="7" t="s">
        <v>1043</v>
      </c>
      <c r="M219" s="7" t="s">
        <v>230</v>
      </c>
      <c r="N219" s="34">
        <v>45321</v>
      </c>
      <c r="O219" s="34" t="s">
        <v>1042</v>
      </c>
      <c r="P219" s="7" t="s">
        <v>1235</v>
      </c>
      <c r="Q219" s="72" t="s">
        <v>69</v>
      </c>
      <c r="R219" s="94" t="s">
        <v>1012</v>
      </c>
      <c r="S219" s="94" t="s">
        <v>1242</v>
      </c>
      <c r="T219" s="22">
        <v>700</v>
      </c>
      <c r="U219" s="22">
        <v>2</v>
      </c>
      <c r="V219" s="273" t="s">
        <v>1378</v>
      </c>
      <c r="W219" s="220"/>
      <c r="X219" s="22" t="s">
        <v>1498</v>
      </c>
      <c r="Y219" s="220"/>
      <c r="Z219" s="14" t="s">
        <v>2155</v>
      </c>
      <c r="AA219" s="47"/>
      <c r="AB219" s="47"/>
      <c r="AC219" s="47"/>
      <c r="AD219" s="47"/>
      <c r="AE219" s="47"/>
      <c r="AF219" s="220"/>
      <c r="AG219" s="220"/>
    </row>
    <row r="220" spans="1:89" ht="17.399999999999999">
      <c r="A220" s="30">
        <f t="shared" si="7"/>
        <v>219</v>
      </c>
      <c r="B220" s="7" t="s">
        <v>1049</v>
      </c>
      <c r="C220" s="7" t="s">
        <v>1051</v>
      </c>
      <c r="D220" s="56" t="s">
        <v>111</v>
      </c>
      <c r="E220" s="33" t="s">
        <v>53</v>
      </c>
      <c r="F220" s="22" t="s">
        <v>83</v>
      </c>
      <c r="G220" s="22" t="s">
        <v>442</v>
      </c>
      <c r="H220" s="78" t="s">
        <v>1052</v>
      </c>
      <c r="I220" s="7" t="s">
        <v>611</v>
      </c>
      <c r="J220" s="7" t="s">
        <v>568</v>
      </c>
      <c r="K220" s="88" t="s">
        <v>1068</v>
      </c>
      <c r="L220" s="7" t="s">
        <v>1050</v>
      </c>
      <c r="M220" s="7" t="s">
        <v>946</v>
      </c>
      <c r="N220" s="34">
        <v>45337</v>
      </c>
      <c r="O220" s="34" t="s">
        <v>1053</v>
      </c>
      <c r="P220" s="7" t="s">
        <v>1233</v>
      </c>
      <c r="Q220" s="72" t="s">
        <v>69</v>
      </c>
      <c r="R220" s="94" t="s">
        <v>868</v>
      </c>
      <c r="S220" s="94" t="s">
        <v>119</v>
      </c>
      <c r="T220" s="22">
        <v>700</v>
      </c>
      <c r="U220" s="22">
        <v>1</v>
      </c>
      <c r="V220" s="73"/>
      <c r="W220" s="7" t="s">
        <v>1499</v>
      </c>
      <c r="X220" s="22" t="s">
        <v>1482</v>
      </c>
      <c r="Y220" s="8" t="s">
        <v>1481</v>
      </c>
      <c r="Z220" s="7" t="s">
        <v>2150</v>
      </c>
      <c r="AA220" s="47" t="s">
        <v>2086</v>
      </c>
      <c r="AB220" s="47"/>
      <c r="AC220" s="47"/>
      <c r="AD220" s="47"/>
      <c r="AE220" s="47"/>
      <c r="AF220" s="8" t="s">
        <v>2342</v>
      </c>
      <c r="AG220" s="220"/>
    </row>
    <row r="221" spans="1:89" s="49" customFormat="1" ht="17.399999999999999">
      <c r="A221" s="413">
        <f t="shared" si="7"/>
        <v>220</v>
      </c>
      <c r="B221" s="7" t="s">
        <v>1116</v>
      </c>
      <c r="C221" s="7" t="s">
        <v>1121</v>
      </c>
      <c r="D221" s="56" t="s">
        <v>1008</v>
      </c>
      <c r="E221" s="33" t="s">
        <v>1009</v>
      </c>
      <c r="F221" s="22" t="s">
        <v>145</v>
      </c>
      <c r="G221" s="22" t="s">
        <v>441</v>
      </c>
      <c r="H221" s="78" t="s">
        <v>992</v>
      </c>
      <c r="I221" s="7" t="s">
        <v>571</v>
      </c>
      <c r="J221" s="7" t="s">
        <v>571</v>
      </c>
      <c r="K221" s="88" t="s">
        <v>1117</v>
      </c>
      <c r="L221" s="7" t="s">
        <v>1118</v>
      </c>
      <c r="M221" s="7" t="s">
        <v>242</v>
      </c>
      <c r="N221" s="34">
        <v>45450</v>
      </c>
      <c r="O221" s="24" t="s">
        <v>1119</v>
      </c>
      <c r="P221" s="16" t="s">
        <v>1235</v>
      </c>
      <c r="Q221" s="72" t="s">
        <v>69</v>
      </c>
      <c r="R221" s="94" t="s">
        <v>1012</v>
      </c>
      <c r="S221" s="94" t="s">
        <v>1242</v>
      </c>
      <c r="T221" s="22">
        <v>700</v>
      </c>
      <c r="U221" s="22">
        <v>4</v>
      </c>
      <c r="V221" s="273" t="s">
        <v>1378</v>
      </c>
      <c r="W221" s="7"/>
      <c r="X221" s="22" t="s">
        <v>1498</v>
      </c>
      <c r="Y221" s="88"/>
      <c r="Z221" s="7" t="s">
        <v>2155</v>
      </c>
      <c r="AA221" s="47"/>
      <c r="AB221" s="47"/>
      <c r="AC221" s="47"/>
      <c r="AD221" s="47"/>
      <c r="AE221" s="47"/>
      <c r="AF221" s="8"/>
      <c r="AG221" s="220"/>
    </row>
    <row r="222" spans="1:89" ht="17.399999999999999">
      <c r="A222" s="413">
        <f t="shared" si="7"/>
        <v>221</v>
      </c>
      <c r="B222" s="7" t="s">
        <v>1154</v>
      </c>
      <c r="C222" s="7" t="s">
        <v>1163</v>
      </c>
      <c r="D222" s="56" t="s">
        <v>1008</v>
      </c>
      <c r="E222" s="33" t="s">
        <v>1009</v>
      </c>
      <c r="F222" s="22" t="s">
        <v>145</v>
      </c>
      <c r="G222" s="22" t="s">
        <v>441</v>
      </c>
      <c r="H222" s="78" t="s">
        <v>992</v>
      </c>
      <c r="I222" s="51" t="s">
        <v>566</v>
      </c>
      <c r="J222" s="51" t="s">
        <v>566</v>
      </c>
      <c r="K222" s="88" t="s">
        <v>1164</v>
      </c>
      <c r="L222" s="7" t="s">
        <v>1165</v>
      </c>
      <c r="M222" s="7" t="s">
        <v>159</v>
      </c>
      <c r="N222" s="34">
        <v>45548</v>
      </c>
      <c r="O222" s="24" t="s">
        <v>1078</v>
      </c>
      <c r="P222" s="16" t="s">
        <v>1235</v>
      </c>
      <c r="Q222" s="72" t="s">
        <v>69</v>
      </c>
      <c r="R222" s="94" t="s">
        <v>1012</v>
      </c>
      <c r="S222" s="94" t="s">
        <v>1242</v>
      </c>
      <c r="T222" s="22">
        <v>700</v>
      </c>
      <c r="U222" s="22">
        <v>2</v>
      </c>
      <c r="V222" s="273" t="s">
        <v>1378</v>
      </c>
      <c r="W222" s="7"/>
      <c r="X222" s="22" t="s">
        <v>1498</v>
      </c>
      <c r="Y222" s="88"/>
      <c r="Z222" s="7" t="s">
        <v>2155</v>
      </c>
      <c r="AA222" s="47"/>
      <c r="AB222" s="47"/>
      <c r="AC222" s="47"/>
      <c r="AD222" s="47"/>
      <c r="AE222" s="47"/>
      <c r="AF222" s="8"/>
      <c r="AG222" s="220"/>
    </row>
    <row r="223" spans="1:89" s="151" customFormat="1" ht="31.2">
      <c r="A223" s="144">
        <f t="shared" si="7"/>
        <v>222</v>
      </c>
      <c r="B223" s="148" t="s">
        <v>1166</v>
      </c>
      <c r="C223" s="148" t="s">
        <v>1192</v>
      </c>
      <c r="D223" s="186" t="s">
        <v>320</v>
      </c>
      <c r="E223" s="187" t="s">
        <v>320</v>
      </c>
      <c r="F223" s="171" t="s">
        <v>320</v>
      </c>
      <c r="G223" s="171" t="s">
        <v>441</v>
      </c>
      <c r="H223" s="171" t="s">
        <v>1177</v>
      </c>
      <c r="I223" s="148" t="s">
        <v>913</v>
      </c>
      <c r="J223" s="148" t="s">
        <v>913</v>
      </c>
      <c r="K223" s="163" t="s">
        <v>1181</v>
      </c>
      <c r="L223" s="148" t="s">
        <v>1185</v>
      </c>
      <c r="M223" s="148" t="s">
        <v>916</v>
      </c>
      <c r="N223" s="164">
        <v>45569</v>
      </c>
      <c r="O223" s="149" t="s">
        <v>1184</v>
      </c>
      <c r="P223" s="145" t="s">
        <v>1233</v>
      </c>
      <c r="Q223" s="171" t="s">
        <v>69</v>
      </c>
      <c r="R223" s="144" t="s">
        <v>695</v>
      </c>
      <c r="S223" s="144" t="s">
        <v>1238</v>
      </c>
      <c r="T223" s="171">
        <v>350</v>
      </c>
      <c r="U223" s="171">
        <v>0</v>
      </c>
      <c r="V223" s="187" t="s">
        <v>1383</v>
      </c>
      <c r="W223" s="148"/>
      <c r="X223" s="171" t="s">
        <v>1510</v>
      </c>
      <c r="Y223" s="163"/>
      <c r="Z223" s="148" t="s">
        <v>2150</v>
      </c>
      <c r="AA223" s="254" t="s">
        <v>2107</v>
      </c>
      <c r="AB223" s="254"/>
      <c r="AC223" s="254"/>
      <c r="AD223" s="254"/>
      <c r="AE223" s="254"/>
      <c r="AF223" s="215"/>
      <c r="AG223" s="175"/>
      <c r="AH223" s="49"/>
      <c r="AI223" s="49"/>
      <c r="AJ223" s="49"/>
      <c r="AK223" s="49"/>
      <c r="AL223" s="49"/>
      <c r="AM223" s="49"/>
      <c r="AN223" s="49"/>
      <c r="AO223" s="49"/>
      <c r="AP223" s="49"/>
      <c r="AQ223" s="49"/>
      <c r="AR223" s="49"/>
      <c r="AS223" s="49"/>
      <c r="AT223" s="49"/>
      <c r="AU223" s="49"/>
      <c r="AV223" s="49"/>
      <c r="AW223" s="49"/>
      <c r="AX223" s="49"/>
      <c r="AY223" s="49"/>
      <c r="AZ223" s="49"/>
      <c r="BA223" s="49"/>
      <c r="BB223" s="49"/>
      <c r="BC223" s="49"/>
      <c r="BD223" s="49"/>
      <c r="BE223" s="49"/>
      <c r="BF223" s="49"/>
      <c r="BG223" s="49"/>
      <c r="BH223" s="49"/>
      <c r="BI223" s="49"/>
      <c r="BJ223" s="49"/>
      <c r="BK223" s="49"/>
      <c r="BL223" s="49"/>
      <c r="BM223" s="49"/>
      <c r="BN223" s="49"/>
      <c r="BO223" s="49"/>
      <c r="BP223" s="49"/>
      <c r="BQ223" s="49"/>
      <c r="BR223" s="49"/>
      <c r="BS223" s="49"/>
      <c r="BT223" s="49"/>
      <c r="BU223" s="49"/>
      <c r="BV223" s="49"/>
      <c r="BW223" s="49"/>
      <c r="BX223" s="49"/>
      <c r="BY223" s="49"/>
      <c r="BZ223" s="49"/>
      <c r="CA223" s="49"/>
      <c r="CB223" s="49"/>
      <c r="CC223" s="49"/>
      <c r="CD223" s="49"/>
      <c r="CE223" s="49"/>
      <c r="CF223" s="49"/>
      <c r="CG223" s="49"/>
      <c r="CH223" s="49"/>
      <c r="CI223" s="49"/>
      <c r="CJ223" s="49"/>
      <c r="CK223" s="49"/>
    </row>
    <row r="224" spans="1:89" s="151" customFormat="1" ht="31.2">
      <c r="A224" s="144">
        <f t="shared" si="7"/>
        <v>223</v>
      </c>
      <c r="B224" s="148" t="s">
        <v>1167</v>
      </c>
      <c r="C224" s="148" t="s">
        <v>1168</v>
      </c>
      <c r="D224" s="186" t="s">
        <v>320</v>
      </c>
      <c r="E224" s="187" t="s">
        <v>320</v>
      </c>
      <c r="F224" s="171" t="s">
        <v>1407</v>
      </c>
      <c r="G224" s="171" t="s">
        <v>442</v>
      </c>
      <c r="H224" s="171" t="s">
        <v>1170</v>
      </c>
      <c r="I224" s="148" t="s">
        <v>913</v>
      </c>
      <c r="J224" s="148" t="s">
        <v>913</v>
      </c>
      <c r="K224" s="163" t="s">
        <v>1183</v>
      </c>
      <c r="L224" s="148" t="s">
        <v>1182</v>
      </c>
      <c r="M224" s="148" t="s">
        <v>916</v>
      </c>
      <c r="N224" s="164">
        <v>45569</v>
      </c>
      <c r="O224" s="149" t="s">
        <v>1186</v>
      </c>
      <c r="P224" s="145" t="s">
        <v>1233</v>
      </c>
      <c r="Q224" s="171" t="s">
        <v>69</v>
      </c>
      <c r="R224" s="144" t="s">
        <v>695</v>
      </c>
      <c r="S224" s="144" t="s">
        <v>1238</v>
      </c>
      <c r="T224" s="171">
        <v>350</v>
      </c>
      <c r="U224" s="171">
        <v>1</v>
      </c>
      <c r="V224" s="187" t="s">
        <v>1440</v>
      </c>
      <c r="W224" s="148"/>
      <c r="X224" s="171" t="s">
        <v>1510</v>
      </c>
      <c r="Y224" s="163"/>
      <c r="Z224" s="148" t="s">
        <v>2150</v>
      </c>
      <c r="AA224" s="254" t="s">
        <v>2108</v>
      </c>
      <c r="AB224" s="254"/>
      <c r="AC224" s="254"/>
      <c r="AD224" s="254"/>
      <c r="AE224" s="254"/>
      <c r="AF224" s="215"/>
      <c r="AG224" s="175"/>
      <c r="AH224" s="49"/>
      <c r="AI224" s="49"/>
      <c r="AJ224" s="49"/>
      <c r="AK224" s="49"/>
      <c r="AL224" s="49"/>
      <c r="AM224" s="49"/>
      <c r="AN224" s="49"/>
      <c r="AO224" s="49"/>
      <c r="AP224" s="49"/>
      <c r="AQ224" s="49"/>
      <c r="AR224" s="49"/>
      <c r="AS224" s="49"/>
      <c r="AT224" s="49"/>
      <c r="AU224" s="49"/>
      <c r="AV224" s="49"/>
      <c r="AW224" s="49"/>
      <c r="AX224" s="49"/>
      <c r="AY224" s="49"/>
      <c r="AZ224" s="49"/>
      <c r="BA224" s="49"/>
      <c r="BB224" s="49"/>
      <c r="BC224" s="49"/>
      <c r="BD224" s="49"/>
      <c r="BE224" s="49"/>
      <c r="BF224" s="49"/>
      <c r="BG224" s="49"/>
      <c r="BH224" s="49"/>
      <c r="BI224" s="49"/>
      <c r="BJ224" s="49"/>
      <c r="BK224" s="49"/>
      <c r="BL224" s="49"/>
      <c r="BM224" s="49"/>
      <c r="BN224" s="49"/>
      <c r="BO224" s="49"/>
      <c r="BP224" s="49"/>
      <c r="BQ224" s="49"/>
      <c r="BR224" s="49"/>
      <c r="BS224" s="49"/>
      <c r="BT224" s="49"/>
      <c r="BU224" s="49"/>
      <c r="BV224" s="49"/>
      <c r="BW224" s="49"/>
      <c r="BX224" s="49"/>
      <c r="BY224" s="49"/>
      <c r="BZ224" s="49"/>
      <c r="CA224" s="49"/>
      <c r="CB224" s="49"/>
      <c r="CC224" s="49"/>
      <c r="CD224" s="49"/>
      <c r="CE224" s="49"/>
      <c r="CF224" s="49"/>
      <c r="CG224" s="49"/>
      <c r="CH224" s="49"/>
      <c r="CI224" s="49"/>
      <c r="CJ224" s="49"/>
      <c r="CK224" s="49"/>
    </row>
    <row r="225" spans="1:89" ht="17.399999999999999">
      <c r="A225" s="413">
        <f t="shared" si="7"/>
        <v>224</v>
      </c>
      <c r="B225" s="7" t="s">
        <v>1178</v>
      </c>
      <c r="C225" s="7" t="s">
        <v>1172</v>
      </c>
      <c r="D225" s="56" t="s">
        <v>1008</v>
      </c>
      <c r="E225" s="33" t="s">
        <v>1009</v>
      </c>
      <c r="F225" s="22" t="s">
        <v>145</v>
      </c>
      <c r="G225" s="22" t="s">
        <v>441</v>
      </c>
      <c r="H225" s="78" t="s">
        <v>992</v>
      </c>
      <c r="I225" s="7" t="s">
        <v>766</v>
      </c>
      <c r="J225" s="7" t="s">
        <v>564</v>
      </c>
      <c r="K225" s="88" t="s">
        <v>1179</v>
      </c>
      <c r="L225" s="7" t="s">
        <v>1180</v>
      </c>
      <c r="M225" s="7" t="s">
        <v>485</v>
      </c>
      <c r="N225" s="34">
        <v>45583</v>
      </c>
      <c r="O225" s="24" t="s">
        <v>1078</v>
      </c>
      <c r="P225" s="16" t="s">
        <v>1235</v>
      </c>
      <c r="Q225" s="72" t="s">
        <v>69</v>
      </c>
      <c r="R225" s="94" t="s">
        <v>1012</v>
      </c>
      <c r="S225" s="94" t="s">
        <v>1242</v>
      </c>
      <c r="T225" s="22">
        <v>700</v>
      </c>
      <c r="U225" s="22">
        <v>4</v>
      </c>
      <c r="V225" s="273" t="s">
        <v>1378</v>
      </c>
      <c r="W225" s="7"/>
      <c r="X225" s="22" t="s">
        <v>1498</v>
      </c>
      <c r="Y225" s="88"/>
      <c r="Z225" s="7" t="s">
        <v>2155</v>
      </c>
      <c r="AA225" s="47"/>
      <c r="AB225" s="47"/>
      <c r="AC225" s="47"/>
      <c r="AD225" s="47"/>
      <c r="AE225" s="47"/>
      <c r="AF225" s="8"/>
      <c r="AG225" s="220"/>
    </row>
    <row r="226" spans="1:89" ht="17.399999999999999">
      <c r="A226" s="413">
        <f t="shared" si="7"/>
        <v>225</v>
      </c>
      <c r="B226" s="7" t="s">
        <v>1198</v>
      </c>
      <c r="C226" s="7" t="s">
        <v>1217</v>
      </c>
      <c r="D226" s="56" t="s">
        <v>1008</v>
      </c>
      <c r="E226" s="33" t="s">
        <v>1009</v>
      </c>
      <c r="F226" s="22" t="s">
        <v>145</v>
      </c>
      <c r="G226" s="22" t="s">
        <v>441</v>
      </c>
      <c r="H226" s="78" t="s">
        <v>992</v>
      </c>
      <c r="I226" s="7" t="s">
        <v>611</v>
      </c>
      <c r="J226" s="7" t="s">
        <v>568</v>
      </c>
      <c r="K226" s="88" t="s">
        <v>1218</v>
      </c>
      <c r="L226" s="7" t="s">
        <v>1223</v>
      </c>
      <c r="M226" s="7" t="s">
        <v>132</v>
      </c>
      <c r="N226" s="34">
        <v>45609</v>
      </c>
      <c r="O226" s="24" t="s">
        <v>1224</v>
      </c>
      <c r="P226" s="16" t="s">
        <v>1235</v>
      </c>
      <c r="Q226" s="72" t="s">
        <v>69</v>
      </c>
      <c r="R226" s="94" t="s">
        <v>1012</v>
      </c>
      <c r="S226" s="94" t="s">
        <v>1242</v>
      </c>
      <c r="T226" s="22">
        <v>700</v>
      </c>
      <c r="U226" s="22">
        <v>2</v>
      </c>
      <c r="V226" s="273" t="s">
        <v>1378</v>
      </c>
      <c r="W226" s="7"/>
      <c r="X226" s="22" t="s">
        <v>1498</v>
      </c>
      <c r="Y226" s="88"/>
      <c r="Z226" s="7" t="s">
        <v>2155</v>
      </c>
      <c r="AA226" s="47"/>
      <c r="AB226" s="47"/>
      <c r="AC226" s="47"/>
      <c r="AD226" s="47"/>
      <c r="AE226" s="47"/>
      <c r="AF226" s="220"/>
      <c r="AG226" s="220"/>
    </row>
    <row r="227" spans="1:89" ht="31.2">
      <c r="A227" s="413">
        <f t="shared" si="7"/>
        <v>226</v>
      </c>
      <c r="B227" s="7" t="s">
        <v>1259</v>
      </c>
      <c r="C227" s="7" t="s">
        <v>588</v>
      </c>
      <c r="D227" s="56" t="s">
        <v>1008</v>
      </c>
      <c r="E227" s="33" t="s">
        <v>1009</v>
      </c>
      <c r="F227" s="22" t="s">
        <v>145</v>
      </c>
      <c r="G227" s="22" t="s">
        <v>441</v>
      </c>
      <c r="H227" s="78" t="s">
        <v>1260</v>
      </c>
      <c r="I227" s="7" t="s">
        <v>572</v>
      </c>
      <c r="J227" s="7" t="s">
        <v>568</v>
      </c>
      <c r="K227" s="88" t="s">
        <v>1261</v>
      </c>
      <c r="L227" s="7" t="s">
        <v>1262</v>
      </c>
      <c r="M227" s="7" t="s">
        <v>86</v>
      </c>
      <c r="N227" s="34">
        <v>45623</v>
      </c>
      <c r="O227" s="24" t="s">
        <v>1263</v>
      </c>
      <c r="P227" s="16" t="s">
        <v>1264</v>
      </c>
      <c r="Q227" s="72" t="s">
        <v>69</v>
      </c>
      <c r="R227" s="94" t="s">
        <v>1260</v>
      </c>
      <c r="S227" s="94" t="s">
        <v>1238</v>
      </c>
      <c r="T227" s="22">
        <v>700</v>
      </c>
      <c r="U227" s="22">
        <v>4</v>
      </c>
      <c r="V227" s="273" t="s">
        <v>1384</v>
      </c>
      <c r="W227" s="7"/>
      <c r="X227" s="22" t="s">
        <v>1498</v>
      </c>
      <c r="Y227" s="88"/>
      <c r="Z227" s="7" t="s">
        <v>2155</v>
      </c>
      <c r="AA227" s="47"/>
      <c r="AB227" s="47"/>
      <c r="AC227" s="47"/>
      <c r="AD227" s="47"/>
      <c r="AE227" s="47"/>
      <c r="AF227" s="8"/>
      <c r="AG227" s="220"/>
    </row>
    <row r="228" spans="1:89" ht="17.399999999999999">
      <c r="A228" s="413">
        <f t="shared" si="7"/>
        <v>227</v>
      </c>
      <c r="B228" s="7" t="s">
        <v>1200</v>
      </c>
      <c r="C228" s="7" t="s">
        <v>1201</v>
      </c>
      <c r="D228" s="56" t="s">
        <v>1008</v>
      </c>
      <c r="E228" s="33" t="s">
        <v>1009</v>
      </c>
      <c r="F228" s="22" t="s">
        <v>145</v>
      </c>
      <c r="G228" s="22" t="s">
        <v>441</v>
      </c>
      <c r="H228" s="78" t="s">
        <v>992</v>
      </c>
      <c r="I228" s="7" t="s">
        <v>572</v>
      </c>
      <c r="J228" s="7" t="s">
        <v>568</v>
      </c>
      <c r="K228" s="88" t="s">
        <v>1202</v>
      </c>
      <c r="L228" s="7" t="s">
        <v>1203</v>
      </c>
      <c r="M228" s="7" t="s">
        <v>86</v>
      </c>
      <c r="N228" s="34">
        <v>45625</v>
      </c>
      <c r="O228" s="24" t="s">
        <v>1204</v>
      </c>
      <c r="P228" s="16" t="s">
        <v>1235</v>
      </c>
      <c r="Q228" s="72" t="s">
        <v>69</v>
      </c>
      <c r="R228" s="94" t="s">
        <v>1012</v>
      </c>
      <c r="S228" s="94" t="s">
        <v>1242</v>
      </c>
      <c r="T228" s="22">
        <v>700</v>
      </c>
      <c r="U228" s="22">
        <v>4</v>
      </c>
      <c r="V228" s="273" t="s">
        <v>1453</v>
      </c>
      <c r="W228" s="7"/>
      <c r="X228" s="22" t="s">
        <v>1498</v>
      </c>
      <c r="Y228" s="88"/>
      <c r="Z228" s="7" t="s">
        <v>2155</v>
      </c>
      <c r="AA228" s="47"/>
      <c r="AB228" s="47"/>
      <c r="AC228" s="47"/>
      <c r="AD228" s="47"/>
      <c r="AE228" s="47"/>
      <c r="AF228" s="8"/>
      <c r="AG228" s="220"/>
    </row>
    <row r="229" spans="1:89" s="49" customFormat="1" ht="17.399999999999999">
      <c r="A229" s="413">
        <f t="shared" si="7"/>
        <v>228</v>
      </c>
      <c r="B229" s="7" t="s">
        <v>1243</v>
      </c>
      <c r="C229" s="7" t="s">
        <v>1247</v>
      </c>
      <c r="D229" s="56" t="s">
        <v>1008</v>
      </c>
      <c r="E229" s="33" t="s">
        <v>1009</v>
      </c>
      <c r="F229" s="22" t="s">
        <v>145</v>
      </c>
      <c r="G229" s="22" t="s">
        <v>441</v>
      </c>
      <c r="H229" s="78" t="s">
        <v>992</v>
      </c>
      <c r="I229" s="7" t="s">
        <v>667</v>
      </c>
      <c r="J229" s="7" t="s">
        <v>564</v>
      </c>
      <c r="K229" s="88" t="s">
        <v>1265</v>
      </c>
      <c r="L229" s="7" t="s">
        <v>1266</v>
      </c>
      <c r="M229" s="7" t="s">
        <v>110</v>
      </c>
      <c r="N229" s="34">
        <v>45628</v>
      </c>
      <c r="O229" s="24" t="s">
        <v>1267</v>
      </c>
      <c r="P229" s="16" t="s">
        <v>1235</v>
      </c>
      <c r="Q229" s="72" t="s">
        <v>69</v>
      </c>
      <c r="R229" s="94" t="s">
        <v>1012</v>
      </c>
      <c r="S229" s="94" t="s">
        <v>1242</v>
      </c>
      <c r="T229" s="22">
        <v>700</v>
      </c>
      <c r="U229" s="22">
        <v>4</v>
      </c>
      <c r="V229" s="273" t="s">
        <v>1453</v>
      </c>
      <c r="W229" s="7"/>
      <c r="X229" s="22" t="s">
        <v>1498</v>
      </c>
      <c r="Y229" s="88"/>
      <c r="Z229" s="7" t="s">
        <v>2155</v>
      </c>
      <c r="AA229" s="47"/>
      <c r="AB229" s="47"/>
      <c r="AC229" s="47"/>
      <c r="AD229" s="47"/>
      <c r="AE229" s="47"/>
      <c r="AF229" s="8"/>
      <c r="AG229" s="72" t="s">
        <v>69</v>
      </c>
    </row>
    <row r="230" spans="1:89" ht="17.399999999999999">
      <c r="A230" s="415">
        <f t="shared" si="7"/>
        <v>229</v>
      </c>
      <c r="B230" s="148" t="s">
        <v>1246</v>
      </c>
      <c r="C230" s="148" t="s">
        <v>1250</v>
      </c>
      <c r="D230" s="186" t="s">
        <v>320</v>
      </c>
      <c r="E230" s="187" t="s">
        <v>320</v>
      </c>
      <c r="F230" s="171" t="s">
        <v>320</v>
      </c>
      <c r="G230" s="171" t="s">
        <v>441</v>
      </c>
      <c r="H230" s="171" t="s">
        <v>398</v>
      </c>
      <c r="I230" s="148" t="s">
        <v>677</v>
      </c>
      <c r="J230" s="148" t="s">
        <v>569</v>
      </c>
      <c r="K230" s="163" t="s">
        <v>1249</v>
      </c>
      <c r="L230" s="148" t="s">
        <v>1271</v>
      </c>
      <c r="M230" s="148" t="s">
        <v>56</v>
      </c>
      <c r="N230" s="164">
        <v>45629</v>
      </c>
      <c r="O230" s="149" t="s">
        <v>1272</v>
      </c>
      <c r="P230" s="145" t="s">
        <v>1273</v>
      </c>
      <c r="Q230" s="171" t="s">
        <v>69</v>
      </c>
      <c r="R230" s="144" t="s">
        <v>1248</v>
      </c>
      <c r="S230" s="144" t="s">
        <v>1248</v>
      </c>
      <c r="T230" s="171">
        <v>350</v>
      </c>
      <c r="U230" s="171">
        <v>4</v>
      </c>
      <c r="V230" s="281" t="s">
        <v>1372</v>
      </c>
      <c r="W230" s="148"/>
      <c r="X230" s="171" t="s">
        <v>1510</v>
      </c>
      <c r="Y230" s="163"/>
      <c r="Z230" s="148" t="s">
        <v>2155</v>
      </c>
      <c r="AA230" s="254"/>
      <c r="AB230" s="254"/>
      <c r="AC230" s="254"/>
      <c r="AD230" s="254"/>
      <c r="AE230" s="254"/>
      <c r="AF230" s="215"/>
      <c r="AG230" s="250" t="s">
        <v>2392</v>
      </c>
    </row>
    <row r="231" spans="1:89" ht="31.2">
      <c r="A231" s="413">
        <f t="shared" si="7"/>
        <v>230</v>
      </c>
      <c r="B231" s="7" t="s">
        <v>1256</v>
      </c>
      <c r="C231" s="7" t="s">
        <v>1292</v>
      </c>
      <c r="D231" s="56" t="s">
        <v>1008</v>
      </c>
      <c r="E231" s="33" t="s">
        <v>1009</v>
      </c>
      <c r="F231" s="22" t="s">
        <v>145</v>
      </c>
      <c r="G231" s="22" t="s">
        <v>441</v>
      </c>
      <c r="H231" s="78" t="s">
        <v>992</v>
      </c>
      <c r="I231" s="7" t="s">
        <v>631</v>
      </c>
      <c r="J231" s="7" t="s">
        <v>564</v>
      </c>
      <c r="K231" s="88" t="s">
        <v>1291</v>
      </c>
      <c r="L231" s="7" t="s">
        <v>1290</v>
      </c>
      <c r="M231" s="7" t="s">
        <v>110</v>
      </c>
      <c r="N231" s="34">
        <v>45653</v>
      </c>
      <c r="O231" s="24" t="s">
        <v>1289</v>
      </c>
      <c r="P231" s="16" t="s">
        <v>1235</v>
      </c>
      <c r="Q231" s="72" t="s">
        <v>69</v>
      </c>
      <c r="R231" s="94" t="s">
        <v>1012</v>
      </c>
      <c r="S231" s="94" t="s">
        <v>1242</v>
      </c>
      <c r="T231" s="22">
        <v>700</v>
      </c>
      <c r="U231" s="22">
        <v>4</v>
      </c>
      <c r="V231" s="273" t="s">
        <v>1385</v>
      </c>
      <c r="W231" s="7"/>
      <c r="X231" s="22" t="s">
        <v>1498</v>
      </c>
      <c r="Y231" s="88"/>
      <c r="Z231" s="7" t="s">
        <v>2155</v>
      </c>
      <c r="AA231" s="47"/>
      <c r="AB231" s="47"/>
      <c r="AC231" s="47"/>
      <c r="AD231" s="47"/>
      <c r="AE231" s="47"/>
      <c r="AF231" s="8"/>
      <c r="AG231" s="220"/>
    </row>
    <row r="232" spans="1:89" s="311" customFormat="1" ht="31.2">
      <c r="A232" s="413">
        <f t="shared" si="7"/>
        <v>231</v>
      </c>
      <c r="B232" s="7" t="s">
        <v>1258</v>
      </c>
      <c r="C232" s="7" t="s">
        <v>636</v>
      </c>
      <c r="D232" s="56" t="s">
        <v>1008</v>
      </c>
      <c r="E232" s="33" t="s">
        <v>1009</v>
      </c>
      <c r="F232" s="22" t="s">
        <v>145</v>
      </c>
      <c r="G232" s="22" t="s">
        <v>441</v>
      </c>
      <c r="H232" s="78" t="s">
        <v>992</v>
      </c>
      <c r="I232" s="7" t="s">
        <v>571</v>
      </c>
      <c r="J232" s="7" t="s">
        <v>571</v>
      </c>
      <c r="K232" s="88" t="s">
        <v>1297</v>
      </c>
      <c r="L232" s="7" t="s">
        <v>1298</v>
      </c>
      <c r="M232" s="7" t="s">
        <v>242</v>
      </c>
      <c r="N232" s="34">
        <v>45657</v>
      </c>
      <c r="O232" s="34" t="s">
        <v>1299</v>
      </c>
      <c r="P232" s="16" t="s">
        <v>1235</v>
      </c>
      <c r="Q232" s="72" t="s">
        <v>69</v>
      </c>
      <c r="R232" s="94" t="s">
        <v>1012</v>
      </c>
      <c r="S232" s="94" t="s">
        <v>1242</v>
      </c>
      <c r="T232" s="22">
        <v>700</v>
      </c>
      <c r="U232" s="22">
        <v>4</v>
      </c>
      <c r="V232" s="273" t="s">
        <v>1386</v>
      </c>
      <c r="W232" s="7"/>
      <c r="X232" s="22" t="s">
        <v>1498</v>
      </c>
      <c r="Y232" s="88"/>
      <c r="Z232" s="7" t="s">
        <v>2155</v>
      </c>
      <c r="AA232" s="47"/>
      <c r="AB232" s="47"/>
      <c r="AC232" s="47"/>
      <c r="AD232" s="47"/>
      <c r="AE232" s="47"/>
      <c r="AF232" s="8"/>
      <c r="AG232" s="220"/>
    </row>
    <row r="233" spans="1:89" ht="31.2">
      <c r="A233" s="413">
        <f t="shared" si="7"/>
        <v>232</v>
      </c>
      <c r="B233" s="7" t="s">
        <v>1305</v>
      </c>
      <c r="C233" s="7" t="s">
        <v>1306</v>
      </c>
      <c r="D233" s="56" t="s">
        <v>1008</v>
      </c>
      <c r="E233" s="33" t="s">
        <v>1009</v>
      </c>
      <c r="F233" s="22" t="s">
        <v>145</v>
      </c>
      <c r="G233" s="22" t="s">
        <v>441</v>
      </c>
      <c r="H233" s="78" t="s">
        <v>1260</v>
      </c>
      <c r="I233" s="7" t="s">
        <v>611</v>
      </c>
      <c r="J233" s="7" t="s">
        <v>568</v>
      </c>
      <c r="K233" s="88" t="s">
        <v>1307</v>
      </c>
      <c r="L233" s="7" t="s">
        <v>1308</v>
      </c>
      <c r="M233" s="7" t="s">
        <v>132</v>
      </c>
      <c r="N233" s="34">
        <v>45700</v>
      </c>
      <c r="O233" s="24" t="s">
        <v>1309</v>
      </c>
      <c r="P233" s="16" t="s">
        <v>1264</v>
      </c>
      <c r="Q233" s="72" t="s">
        <v>69</v>
      </c>
      <c r="R233" s="94" t="s">
        <v>1260</v>
      </c>
      <c r="S233" s="94" t="s">
        <v>1426</v>
      </c>
      <c r="T233" s="22">
        <v>700</v>
      </c>
      <c r="U233" s="22">
        <v>4</v>
      </c>
      <c r="V233" s="273" t="s">
        <v>1378</v>
      </c>
      <c r="W233" s="220"/>
      <c r="X233" s="22" t="s">
        <v>1498</v>
      </c>
      <c r="Y233" s="88"/>
      <c r="Z233" s="7" t="s">
        <v>2155</v>
      </c>
      <c r="AA233" s="47"/>
      <c r="AB233" s="47"/>
      <c r="AC233" s="47"/>
      <c r="AD233" s="47"/>
      <c r="AE233" s="47"/>
      <c r="AF233" s="220"/>
      <c r="AG233" s="220"/>
    </row>
    <row r="234" spans="1:89" ht="17.399999999999999">
      <c r="A234" s="413">
        <f t="shared" si="7"/>
        <v>233</v>
      </c>
      <c r="B234" s="7" t="s">
        <v>1316</v>
      </c>
      <c r="C234" s="7" t="s">
        <v>1323</v>
      </c>
      <c r="D234" s="56" t="s">
        <v>1008</v>
      </c>
      <c r="E234" s="33" t="s">
        <v>1009</v>
      </c>
      <c r="F234" s="22" t="s">
        <v>145</v>
      </c>
      <c r="G234" s="22" t="s">
        <v>441</v>
      </c>
      <c r="H234" s="78" t="s">
        <v>992</v>
      </c>
      <c r="I234" s="7" t="s">
        <v>565</v>
      </c>
      <c r="J234" s="7" t="s">
        <v>565</v>
      </c>
      <c r="K234" s="88" t="s">
        <v>1324</v>
      </c>
      <c r="L234" s="7" t="s">
        <v>1325</v>
      </c>
      <c r="M234" s="7" t="s">
        <v>464</v>
      </c>
      <c r="N234" s="34">
        <v>45723</v>
      </c>
      <c r="O234" s="24">
        <v>45588</v>
      </c>
      <c r="P234" s="16" t="s">
        <v>1235</v>
      </c>
      <c r="Q234" s="72" t="s">
        <v>69</v>
      </c>
      <c r="R234" s="94" t="s">
        <v>1012</v>
      </c>
      <c r="S234" s="94" t="s">
        <v>1242</v>
      </c>
      <c r="T234" s="22">
        <v>700</v>
      </c>
      <c r="U234" s="22">
        <v>4</v>
      </c>
      <c r="V234" s="273" t="s">
        <v>1378</v>
      </c>
      <c r="W234" s="220"/>
      <c r="X234" s="22" t="s">
        <v>1498</v>
      </c>
      <c r="Y234" s="88"/>
      <c r="Z234" s="7" t="s">
        <v>2155</v>
      </c>
      <c r="AA234" s="47"/>
      <c r="AB234" s="47"/>
      <c r="AC234" s="47"/>
      <c r="AD234" s="47"/>
      <c r="AE234" s="47"/>
      <c r="AF234" s="220"/>
      <c r="AG234" s="220"/>
    </row>
    <row r="235" spans="1:89" ht="17.399999999999999">
      <c r="A235" s="413">
        <f t="shared" si="7"/>
        <v>234</v>
      </c>
      <c r="B235" s="7" t="s">
        <v>1319</v>
      </c>
      <c r="C235" s="7" t="s">
        <v>1326</v>
      </c>
      <c r="D235" s="56" t="s">
        <v>1008</v>
      </c>
      <c r="E235" s="33" t="s">
        <v>1009</v>
      </c>
      <c r="F235" s="22" t="s">
        <v>145</v>
      </c>
      <c r="G235" s="22" t="s">
        <v>441</v>
      </c>
      <c r="H235" s="78" t="s">
        <v>992</v>
      </c>
      <c r="I235" s="7" t="s">
        <v>565</v>
      </c>
      <c r="J235" s="7" t="s">
        <v>565</v>
      </c>
      <c r="K235" s="88" t="s">
        <v>1327</v>
      </c>
      <c r="L235" s="7" t="s">
        <v>1328</v>
      </c>
      <c r="M235" s="7" t="s">
        <v>230</v>
      </c>
      <c r="N235" s="34">
        <v>45730</v>
      </c>
      <c r="O235" s="24">
        <v>45530</v>
      </c>
      <c r="P235" s="16" t="s">
        <v>1235</v>
      </c>
      <c r="Q235" s="72" t="s">
        <v>69</v>
      </c>
      <c r="R235" s="94" t="s">
        <v>1012</v>
      </c>
      <c r="S235" s="94" t="s">
        <v>1242</v>
      </c>
      <c r="T235" s="22">
        <v>700</v>
      </c>
      <c r="U235" s="22">
        <v>4</v>
      </c>
      <c r="V235" s="273" t="s">
        <v>1378</v>
      </c>
      <c r="W235" s="220"/>
      <c r="X235" s="22" t="s">
        <v>1498</v>
      </c>
      <c r="Y235" s="88"/>
      <c r="Z235" s="7" t="s">
        <v>2155</v>
      </c>
      <c r="AA235" s="47"/>
      <c r="AB235" s="47"/>
      <c r="AC235" s="47"/>
      <c r="AD235" s="47"/>
      <c r="AE235" s="47"/>
      <c r="AF235" s="220"/>
      <c r="AG235" s="220"/>
    </row>
    <row r="236" spans="1:89" ht="31.2">
      <c r="A236" s="413">
        <f t="shared" si="7"/>
        <v>235</v>
      </c>
      <c r="B236" s="7" t="s">
        <v>1408</v>
      </c>
      <c r="C236" s="7" t="s">
        <v>1409</v>
      </c>
      <c r="D236" s="56" t="s">
        <v>1008</v>
      </c>
      <c r="E236" s="33" t="s">
        <v>1009</v>
      </c>
      <c r="F236" s="22" t="s">
        <v>145</v>
      </c>
      <c r="G236" s="22" t="s">
        <v>441</v>
      </c>
      <c r="H236" s="78" t="s">
        <v>992</v>
      </c>
      <c r="I236" s="7" t="s">
        <v>565</v>
      </c>
      <c r="J236" s="7" t="s">
        <v>565</v>
      </c>
      <c r="K236" s="88" t="s">
        <v>1410</v>
      </c>
      <c r="L236" s="7" t="s">
        <v>1411</v>
      </c>
      <c r="M236" s="7" t="s">
        <v>116</v>
      </c>
      <c r="N236" s="34">
        <v>45813</v>
      </c>
      <c r="O236" s="24" t="s">
        <v>1412</v>
      </c>
      <c r="P236" s="16" t="s">
        <v>1235</v>
      </c>
      <c r="Q236" s="72" t="s">
        <v>69</v>
      </c>
      <c r="R236" s="94" t="s">
        <v>1012</v>
      </c>
      <c r="S236" s="94" t="s">
        <v>1242</v>
      </c>
      <c r="T236" s="22">
        <v>700</v>
      </c>
      <c r="U236" s="22">
        <v>4</v>
      </c>
      <c r="V236" s="273" t="s">
        <v>1378</v>
      </c>
      <c r="W236" s="220"/>
      <c r="X236" s="22" t="s">
        <v>1498</v>
      </c>
      <c r="Y236" s="88"/>
      <c r="Z236" s="7" t="s">
        <v>2155</v>
      </c>
      <c r="AA236" s="47"/>
      <c r="AB236" s="47"/>
      <c r="AC236" s="47"/>
      <c r="AD236" s="47"/>
      <c r="AE236" s="47"/>
      <c r="AF236" s="220"/>
      <c r="AG236" s="220"/>
    </row>
    <row r="237" spans="1:89" ht="31.2">
      <c r="A237" s="413">
        <f t="shared" si="7"/>
        <v>236</v>
      </c>
      <c r="B237" s="7" t="s">
        <v>1413</v>
      </c>
      <c r="C237" s="7" t="s">
        <v>373</v>
      </c>
      <c r="D237" s="56" t="s">
        <v>1008</v>
      </c>
      <c r="E237" s="33" t="s">
        <v>1009</v>
      </c>
      <c r="F237" s="22" t="s">
        <v>145</v>
      </c>
      <c r="G237" s="22" t="s">
        <v>441</v>
      </c>
      <c r="H237" s="78" t="s">
        <v>992</v>
      </c>
      <c r="I237" s="7" t="s">
        <v>571</v>
      </c>
      <c r="J237" s="7" t="s">
        <v>571</v>
      </c>
      <c r="K237" s="88" t="s">
        <v>1414</v>
      </c>
      <c r="L237" s="7" t="s">
        <v>1415</v>
      </c>
      <c r="M237" s="7" t="s">
        <v>242</v>
      </c>
      <c r="N237" s="34">
        <v>45821</v>
      </c>
      <c r="O237" s="24" t="s">
        <v>1416</v>
      </c>
      <c r="P237" s="16" t="s">
        <v>1235</v>
      </c>
      <c r="Q237" s="72" t="s">
        <v>69</v>
      </c>
      <c r="R237" s="94" t="s">
        <v>1012</v>
      </c>
      <c r="S237" s="94" t="s">
        <v>1242</v>
      </c>
      <c r="T237" s="22">
        <v>700</v>
      </c>
      <c r="U237" s="22">
        <v>4</v>
      </c>
      <c r="V237" s="273" t="s">
        <v>1384</v>
      </c>
      <c r="W237" s="220"/>
      <c r="X237" s="22" t="s">
        <v>1498</v>
      </c>
      <c r="Y237" s="88"/>
      <c r="Z237" s="7" t="s">
        <v>2155</v>
      </c>
      <c r="AA237" s="47"/>
      <c r="AB237" s="47"/>
      <c r="AC237" s="47"/>
      <c r="AD237" s="47"/>
      <c r="AE237" s="47"/>
      <c r="AF237" s="220"/>
      <c r="AG237" s="88"/>
    </row>
    <row r="238" spans="1:89" ht="17.399999999999999">
      <c r="A238" s="415">
        <f t="shared" si="7"/>
        <v>237</v>
      </c>
      <c r="B238" s="148" t="s">
        <v>1449</v>
      </c>
      <c r="C238" s="148" t="s">
        <v>1326</v>
      </c>
      <c r="D238" s="186" t="s">
        <v>320</v>
      </c>
      <c r="E238" s="187" t="s">
        <v>320</v>
      </c>
      <c r="F238" s="171" t="s">
        <v>145</v>
      </c>
      <c r="G238" s="171" t="s">
        <v>441</v>
      </c>
      <c r="H238" s="171" t="s">
        <v>398</v>
      </c>
      <c r="I238" s="148" t="s">
        <v>565</v>
      </c>
      <c r="J238" s="148" t="s">
        <v>565</v>
      </c>
      <c r="K238" s="163" t="s">
        <v>1450</v>
      </c>
      <c r="L238" s="148" t="s">
        <v>1451</v>
      </c>
      <c r="M238" s="148" t="s">
        <v>230</v>
      </c>
      <c r="N238" s="164">
        <v>45947</v>
      </c>
      <c r="O238" s="149">
        <v>45630</v>
      </c>
      <c r="P238" s="145" t="s">
        <v>1273</v>
      </c>
      <c r="Q238" s="171" t="s">
        <v>69</v>
      </c>
      <c r="R238" s="144" t="s">
        <v>102</v>
      </c>
      <c r="S238" s="144" t="s">
        <v>398</v>
      </c>
      <c r="T238" s="171">
        <v>700</v>
      </c>
      <c r="U238" s="171">
        <v>1</v>
      </c>
      <c r="V238" s="285" t="s">
        <v>1372</v>
      </c>
      <c r="W238" s="175"/>
      <c r="X238" s="171" t="s">
        <v>1510</v>
      </c>
      <c r="Y238" s="175"/>
      <c r="Z238" s="162" t="s">
        <v>2155</v>
      </c>
      <c r="AA238" s="254"/>
      <c r="AB238" s="254"/>
      <c r="AC238" s="254"/>
      <c r="AD238" s="254"/>
      <c r="AE238" s="254"/>
      <c r="AF238" s="175"/>
      <c r="AG238" s="163"/>
    </row>
    <row r="239" spans="1:89" s="151" customFormat="1" ht="31.2">
      <c r="A239" s="412">
        <f t="shared" si="7"/>
        <v>238</v>
      </c>
      <c r="B239" s="123" t="s">
        <v>1459</v>
      </c>
      <c r="C239" s="7" t="s">
        <v>1460</v>
      </c>
      <c r="D239" s="56" t="s">
        <v>1008</v>
      </c>
      <c r="E239" s="33" t="s">
        <v>320</v>
      </c>
      <c r="F239" s="22" t="s">
        <v>145</v>
      </c>
      <c r="G239" s="22" t="s">
        <v>441</v>
      </c>
      <c r="H239" s="48" t="s">
        <v>1461</v>
      </c>
      <c r="I239" s="7" t="s">
        <v>646</v>
      </c>
      <c r="J239" s="7" t="s">
        <v>569</v>
      </c>
      <c r="K239" s="125" t="s">
        <v>1462</v>
      </c>
      <c r="L239" s="123" t="s">
        <v>1463</v>
      </c>
      <c r="M239" s="123" t="s">
        <v>101</v>
      </c>
      <c r="N239" s="34">
        <v>45971</v>
      </c>
      <c r="O239" s="24">
        <v>45841</v>
      </c>
      <c r="P239" s="16" t="s">
        <v>1273</v>
      </c>
      <c r="Q239" s="63" t="s">
        <v>114</v>
      </c>
      <c r="R239" s="74" t="s">
        <v>1058</v>
      </c>
      <c r="S239" s="94" t="s">
        <v>1464</v>
      </c>
      <c r="T239" s="22">
        <v>3.5</v>
      </c>
      <c r="U239" s="22">
        <v>1</v>
      </c>
      <c r="V239" s="287" t="s">
        <v>1465</v>
      </c>
      <c r="W239" s="161"/>
      <c r="X239" s="48" t="s">
        <v>1511</v>
      </c>
      <c r="Y239" s="161"/>
      <c r="Z239" s="121" t="s">
        <v>2155</v>
      </c>
      <c r="AA239" s="47"/>
      <c r="AB239" s="47"/>
      <c r="AC239" s="47"/>
      <c r="AD239" s="47"/>
      <c r="AE239" s="47"/>
      <c r="AF239" s="125"/>
      <c r="AG239" s="161" t="s">
        <v>1557</v>
      </c>
      <c r="AH239" s="49"/>
      <c r="AI239" s="49"/>
      <c r="AJ239" s="49"/>
      <c r="AK239" s="49"/>
      <c r="AL239" s="49"/>
      <c r="AM239" s="49"/>
      <c r="AN239" s="49"/>
      <c r="AO239" s="49"/>
      <c r="AP239" s="49"/>
      <c r="AQ239" s="49"/>
      <c r="AR239" s="49"/>
      <c r="AS239" s="49"/>
      <c r="AT239" s="49"/>
      <c r="AU239" s="49"/>
      <c r="AV239" s="49"/>
      <c r="AW239" s="49"/>
      <c r="AX239" s="49"/>
      <c r="AY239" s="49"/>
      <c r="AZ239" s="49"/>
      <c r="BA239" s="49"/>
      <c r="BB239" s="49"/>
      <c r="BC239" s="49"/>
      <c r="BD239" s="49"/>
      <c r="BE239" s="49"/>
      <c r="BF239" s="49"/>
      <c r="BG239" s="49"/>
      <c r="BH239" s="49"/>
      <c r="BI239" s="49"/>
      <c r="BJ239" s="49"/>
      <c r="BK239" s="49"/>
      <c r="BL239" s="49"/>
      <c r="BM239" s="49"/>
      <c r="BN239" s="49"/>
      <c r="BO239" s="49"/>
      <c r="BP239" s="49"/>
      <c r="BQ239" s="49"/>
      <c r="BR239" s="49"/>
      <c r="BS239" s="49"/>
      <c r="BT239" s="49"/>
      <c r="BU239" s="49"/>
      <c r="BV239" s="49"/>
      <c r="BW239" s="49"/>
      <c r="BX239" s="49"/>
      <c r="BY239" s="49"/>
      <c r="BZ239" s="49"/>
      <c r="CA239" s="49"/>
      <c r="CB239" s="49"/>
      <c r="CC239" s="49"/>
      <c r="CD239" s="49"/>
      <c r="CE239" s="49"/>
      <c r="CF239" s="49"/>
      <c r="CG239" s="49"/>
      <c r="CH239" s="49"/>
      <c r="CI239" s="49"/>
      <c r="CJ239" s="49"/>
      <c r="CK239" s="49"/>
    </row>
    <row r="240" spans="1:89" ht="31.2">
      <c r="A240" s="413">
        <f t="shared" si="7"/>
        <v>239</v>
      </c>
      <c r="B240" s="7" t="s">
        <v>1466</v>
      </c>
      <c r="C240" s="7" t="s">
        <v>1467</v>
      </c>
      <c r="D240" s="56" t="s">
        <v>1008</v>
      </c>
      <c r="E240" s="33" t="s">
        <v>1009</v>
      </c>
      <c r="F240" s="22" t="s">
        <v>145</v>
      </c>
      <c r="G240" s="22" t="s">
        <v>441</v>
      </c>
      <c r="H240" s="78" t="s">
        <v>1260</v>
      </c>
      <c r="I240" s="7" t="s">
        <v>667</v>
      </c>
      <c r="J240" s="7" t="s">
        <v>564</v>
      </c>
      <c r="K240" s="88" t="s">
        <v>1468</v>
      </c>
      <c r="L240" s="7" t="s">
        <v>1469</v>
      </c>
      <c r="M240" s="7" t="s">
        <v>110</v>
      </c>
      <c r="N240" s="34">
        <v>45979</v>
      </c>
      <c r="O240" s="24">
        <v>45784</v>
      </c>
      <c r="P240" s="16" t="s">
        <v>1264</v>
      </c>
      <c r="Q240" s="72" t="s">
        <v>69</v>
      </c>
      <c r="R240" s="94" t="s">
        <v>908</v>
      </c>
      <c r="S240" s="94" t="s">
        <v>1426</v>
      </c>
      <c r="T240" s="22">
        <v>700</v>
      </c>
      <c r="U240" s="22">
        <v>4</v>
      </c>
      <c r="V240" s="273" t="s">
        <v>1470</v>
      </c>
      <c r="W240" s="220"/>
      <c r="X240" s="22" t="s">
        <v>1498</v>
      </c>
      <c r="Y240" s="220"/>
      <c r="Z240" s="14" t="s">
        <v>2155</v>
      </c>
      <c r="AA240" s="47"/>
      <c r="AB240" s="47"/>
      <c r="AC240" s="47"/>
      <c r="AD240" s="47"/>
      <c r="AE240" s="47"/>
      <c r="AF240" s="220"/>
      <c r="AG240" s="220" t="s">
        <v>1558</v>
      </c>
    </row>
    <row r="241" spans="1:33" ht="31.2">
      <c r="A241" s="415">
        <f t="shared" si="7"/>
        <v>240</v>
      </c>
      <c r="B241" s="148" t="s">
        <v>1471</v>
      </c>
      <c r="C241" s="131" t="s">
        <v>509</v>
      </c>
      <c r="D241" s="137" t="s">
        <v>1008</v>
      </c>
      <c r="E241" s="138" t="s">
        <v>1009</v>
      </c>
      <c r="F241" s="107" t="s">
        <v>145</v>
      </c>
      <c r="G241" s="107" t="s">
        <v>441</v>
      </c>
      <c r="H241" s="171" t="s">
        <v>408</v>
      </c>
      <c r="I241" s="131" t="s">
        <v>566</v>
      </c>
      <c r="J241" s="131" t="s">
        <v>566</v>
      </c>
      <c r="K241" s="163" t="s">
        <v>1472</v>
      </c>
      <c r="L241" s="148" t="s">
        <v>510</v>
      </c>
      <c r="M241" s="148" t="s">
        <v>131</v>
      </c>
      <c r="N241" s="140">
        <v>45982</v>
      </c>
      <c r="O241" s="141">
        <v>45547</v>
      </c>
      <c r="P241" s="142" t="s">
        <v>1273</v>
      </c>
      <c r="Q241" s="113" t="s">
        <v>114</v>
      </c>
      <c r="R241" s="144" t="s">
        <v>695</v>
      </c>
      <c r="S241" s="176" t="s">
        <v>695</v>
      </c>
      <c r="T241" s="107">
        <v>700</v>
      </c>
      <c r="U241" s="107">
        <v>1</v>
      </c>
      <c r="V241" s="277" t="s">
        <v>1470</v>
      </c>
      <c r="W241" s="175"/>
      <c r="X241" s="171" t="s">
        <v>1511</v>
      </c>
      <c r="Y241" s="175"/>
      <c r="Z241" s="162" t="s">
        <v>2155</v>
      </c>
      <c r="AA241" s="254"/>
      <c r="AB241" s="254"/>
      <c r="AC241" s="254"/>
      <c r="AD241" s="254"/>
      <c r="AE241" s="254"/>
      <c r="AF241" s="163"/>
      <c r="AG241" s="175" t="s">
        <v>1558</v>
      </c>
    </row>
    <row r="242" spans="1:33" ht="31.2">
      <c r="A242" s="413">
        <f t="shared" si="7"/>
        <v>241</v>
      </c>
      <c r="B242" s="7" t="s">
        <v>1473</v>
      </c>
      <c r="C242" s="7" t="s">
        <v>991</v>
      </c>
      <c r="D242" s="56" t="s">
        <v>1008</v>
      </c>
      <c r="E242" s="33" t="s">
        <v>1009</v>
      </c>
      <c r="F242" s="22" t="s">
        <v>145</v>
      </c>
      <c r="G242" s="22" t="s">
        <v>441</v>
      </c>
      <c r="H242" s="78" t="s">
        <v>992</v>
      </c>
      <c r="I242" s="7" t="s">
        <v>571</v>
      </c>
      <c r="J242" s="7" t="s">
        <v>571</v>
      </c>
      <c r="K242" s="88" t="s">
        <v>1474</v>
      </c>
      <c r="L242" s="7" t="s">
        <v>1475</v>
      </c>
      <c r="M242" s="7" t="s">
        <v>242</v>
      </c>
      <c r="N242" s="34">
        <v>45988</v>
      </c>
      <c r="O242" s="24">
        <v>45805</v>
      </c>
      <c r="P242" s="16" t="s">
        <v>1235</v>
      </c>
      <c r="Q242" s="72" t="s">
        <v>69</v>
      </c>
      <c r="R242" s="94" t="s">
        <v>1012</v>
      </c>
      <c r="S242" s="94" t="s">
        <v>1242</v>
      </c>
      <c r="T242" s="22">
        <v>700</v>
      </c>
      <c r="U242" s="22">
        <v>4</v>
      </c>
      <c r="V242" s="273" t="s">
        <v>1470</v>
      </c>
      <c r="W242" s="220"/>
      <c r="X242" s="22" t="s">
        <v>1498</v>
      </c>
      <c r="Y242" s="220"/>
      <c r="Z242" s="14" t="s">
        <v>2155</v>
      </c>
      <c r="AA242" s="47"/>
      <c r="AB242" s="47"/>
      <c r="AC242" s="47"/>
      <c r="AD242" s="47"/>
      <c r="AE242" s="47"/>
      <c r="AF242" s="220"/>
      <c r="AG242" s="220" t="s">
        <v>1558</v>
      </c>
    </row>
    <row r="243" spans="1:33" ht="31.2">
      <c r="A243" s="413">
        <f t="shared" si="7"/>
        <v>242</v>
      </c>
      <c r="B243" s="7" t="s">
        <v>1519</v>
      </c>
      <c r="C243" s="7" t="s">
        <v>1520</v>
      </c>
      <c r="D243" s="56" t="s">
        <v>1008</v>
      </c>
      <c r="E243" s="33" t="s">
        <v>1009</v>
      </c>
      <c r="F243" s="22" t="s">
        <v>145</v>
      </c>
      <c r="G243" s="22" t="s">
        <v>441</v>
      </c>
      <c r="H243" s="78" t="s">
        <v>992</v>
      </c>
      <c r="I243" s="7" t="s">
        <v>571</v>
      </c>
      <c r="J243" s="7" t="s">
        <v>571</v>
      </c>
      <c r="K243" s="88" t="s">
        <v>1521</v>
      </c>
      <c r="L243" s="7" t="s">
        <v>1522</v>
      </c>
      <c r="M243" s="7" t="s">
        <v>242</v>
      </c>
      <c r="N243" s="34">
        <v>45993</v>
      </c>
      <c r="O243" s="24">
        <v>45805</v>
      </c>
      <c r="P243" s="16" t="s">
        <v>1235</v>
      </c>
      <c r="Q243" s="72" t="s">
        <v>69</v>
      </c>
      <c r="R243" s="94" t="s">
        <v>139</v>
      </c>
      <c r="S243" s="94" t="s">
        <v>1426</v>
      </c>
      <c r="T243" s="22">
        <v>700</v>
      </c>
      <c r="U243" s="22">
        <v>4</v>
      </c>
      <c r="V243" s="273" t="s">
        <v>1523</v>
      </c>
      <c r="W243" s="220"/>
      <c r="X243" s="22" t="s">
        <v>1498</v>
      </c>
      <c r="Y243" s="220"/>
      <c r="Z243" s="14" t="s">
        <v>2155</v>
      </c>
      <c r="AA243" s="47"/>
      <c r="AB243" s="47"/>
      <c r="AC243" s="47"/>
      <c r="AD243" s="47"/>
      <c r="AE243" s="47"/>
      <c r="AF243" s="220"/>
      <c r="AG243" s="220" t="s">
        <v>1558</v>
      </c>
    </row>
    <row r="244" spans="1:33" s="87" customFormat="1" ht="31.2">
      <c r="A244" s="413">
        <f t="shared" si="7"/>
        <v>243</v>
      </c>
      <c r="B244" s="7" t="s">
        <v>1531</v>
      </c>
      <c r="C244" s="7" t="s">
        <v>1532</v>
      </c>
      <c r="D244" s="56" t="s">
        <v>1008</v>
      </c>
      <c r="E244" s="33" t="s">
        <v>1009</v>
      </c>
      <c r="F244" s="22" t="s">
        <v>145</v>
      </c>
      <c r="G244" s="22" t="s">
        <v>441</v>
      </c>
      <c r="H244" s="78" t="s">
        <v>992</v>
      </c>
      <c r="I244" s="7" t="s">
        <v>565</v>
      </c>
      <c r="J244" s="7" t="s">
        <v>565</v>
      </c>
      <c r="K244" s="88" t="s">
        <v>1533</v>
      </c>
      <c r="L244" s="7" t="s">
        <v>1534</v>
      </c>
      <c r="M244" s="7" t="s">
        <v>116</v>
      </c>
      <c r="N244" s="34">
        <v>46001</v>
      </c>
      <c r="O244" s="24" t="s">
        <v>1535</v>
      </c>
      <c r="P244" s="16" t="s">
        <v>1235</v>
      </c>
      <c r="Q244" s="72" t="s">
        <v>69</v>
      </c>
      <c r="R244" s="94" t="s">
        <v>1012</v>
      </c>
      <c r="S244" s="94" t="s">
        <v>1242</v>
      </c>
      <c r="T244" s="22">
        <v>700</v>
      </c>
      <c r="U244" s="22">
        <v>4</v>
      </c>
      <c r="V244" s="273" t="s">
        <v>1378</v>
      </c>
      <c r="W244" s="220"/>
      <c r="X244" s="22" t="s">
        <v>1498</v>
      </c>
      <c r="Y244" s="220"/>
      <c r="Z244" s="14" t="s">
        <v>2155</v>
      </c>
      <c r="AA244" s="47"/>
      <c r="AB244" s="47"/>
      <c r="AC244" s="47"/>
      <c r="AD244" s="47"/>
      <c r="AE244" s="47"/>
      <c r="AF244" s="220"/>
      <c r="AG244" s="220" t="s">
        <v>1558</v>
      </c>
    </row>
    <row r="245" spans="1:33" ht="17.399999999999999">
      <c r="A245" s="416">
        <f t="shared" si="7"/>
        <v>244</v>
      </c>
      <c r="B245" s="291" t="s">
        <v>1888</v>
      </c>
      <c r="C245" s="3" t="s">
        <v>1889</v>
      </c>
      <c r="D245" s="3" t="s">
        <v>1008</v>
      </c>
      <c r="E245" s="326" t="s">
        <v>1009</v>
      </c>
      <c r="F245" s="327" t="s">
        <v>145</v>
      </c>
      <c r="G245" s="327" t="s">
        <v>441</v>
      </c>
      <c r="H245" s="328" t="s">
        <v>992</v>
      </c>
      <c r="I245" s="291" t="s">
        <v>565</v>
      </c>
      <c r="J245" s="291" t="s">
        <v>565</v>
      </c>
      <c r="K245" s="292" t="s">
        <v>1890</v>
      </c>
      <c r="L245" s="291" t="s">
        <v>1891</v>
      </c>
      <c r="M245" s="291" t="s">
        <v>230</v>
      </c>
      <c r="N245" s="293">
        <v>46262</v>
      </c>
      <c r="O245" s="293">
        <v>46045</v>
      </c>
      <c r="P245" s="3" t="s">
        <v>1264</v>
      </c>
      <c r="Q245" s="330" t="s">
        <v>69</v>
      </c>
      <c r="R245" s="365" t="s">
        <v>139</v>
      </c>
      <c r="S245" s="365" t="s">
        <v>1848</v>
      </c>
      <c r="T245" s="327">
        <v>700</v>
      </c>
      <c r="U245" s="327">
        <v>4</v>
      </c>
      <c r="V245" s="373"/>
      <c r="W245" s="292"/>
      <c r="X245" s="291" t="s">
        <v>1498</v>
      </c>
      <c r="Y245" s="292"/>
      <c r="Z245" s="291" t="s">
        <v>2155</v>
      </c>
      <c r="AA245" s="47"/>
      <c r="AB245" s="47"/>
      <c r="AC245" s="47"/>
      <c r="AD245" s="47"/>
      <c r="AE245" s="47"/>
      <c r="AF245" s="292"/>
      <c r="AG245" s="292"/>
    </row>
    <row r="246" spans="1:33" ht="17.399999999999999">
      <c r="A246" s="416">
        <f t="shared" si="7"/>
        <v>245</v>
      </c>
      <c r="B246" s="291" t="s">
        <v>1892</v>
      </c>
      <c r="C246" s="3" t="s">
        <v>1893</v>
      </c>
      <c r="D246" s="3" t="s">
        <v>1008</v>
      </c>
      <c r="E246" s="326" t="s">
        <v>1009</v>
      </c>
      <c r="F246" s="327" t="s">
        <v>145</v>
      </c>
      <c r="G246" s="327" t="s">
        <v>441</v>
      </c>
      <c r="H246" s="328" t="s">
        <v>992</v>
      </c>
      <c r="I246" s="291" t="s">
        <v>565</v>
      </c>
      <c r="J246" s="291" t="s">
        <v>565</v>
      </c>
      <c r="K246" s="331" t="s">
        <v>1894</v>
      </c>
      <c r="L246" s="291" t="s">
        <v>1895</v>
      </c>
      <c r="M246" s="291" t="s">
        <v>116</v>
      </c>
      <c r="N246" s="293">
        <v>46276</v>
      </c>
      <c r="O246" s="293">
        <v>46057</v>
      </c>
      <c r="P246" s="3" t="s">
        <v>1264</v>
      </c>
      <c r="Q246" s="330" t="s">
        <v>69</v>
      </c>
      <c r="R246" s="365" t="s">
        <v>139</v>
      </c>
      <c r="S246" s="365" t="s">
        <v>1848</v>
      </c>
      <c r="T246" s="327">
        <v>700</v>
      </c>
      <c r="U246" s="327">
        <v>4</v>
      </c>
      <c r="V246" s="373"/>
      <c r="W246" s="292"/>
      <c r="X246" s="291" t="s">
        <v>1498</v>
      </c>
      <c r="Y246" s="292"/>
      <c r="Z246" s="291" t="s">
        <v>2155</v>
      </c>
      <c r="AA246" s="47"/>
      <c r="AB246" s="47"/>
      <c r="AC246" s="47"/>
      <c r="AD246" s="47"/>
      <c r="AE246" s="47"/>
      <c r="AF246" s="292"/>
      <c r="AG246" s="292"/>
    </row>
    <row r="247" spans="1:33" ht="31.2">
      <c r="A247" s="416">
        <f t="shared" si="7"/>
        <v>246</v>
      </c>
      <c r="B247" s="291" t="s">
        <v>1906</v>
      </c>
      <c r="C247" s="3" t="s">
        <v>1907</v>
      </c>
      <c r="D247" s="3" t="s">
        <v>111</v>
      </c>
      <c r="E247" s="326" t="s">
        <v>53</v>
      </c>
      <c r="F247" s="327" t="s">
        <v>145</v>
      </c>
      <c r="G247" s="327" t="s">
        <v>441</v>
      </c>
      <c r="H247" s="328" t="s">
        <v>779</v>
      </c>
      <c r="I247" s="291" t="s">
        <v>572</v>
      </c>
      <c r="J247" s="291" t="s">
        <v>568</v>
      </c>
      <c r="K247" s="292" t="s">
        <v>1908</v>
      </c>
      <c r="L247" s="291" t="s">
        <v>1909</v>
      </c>
      <c r="M247" s="291" t="s">
        <v>86</v>
      </c>
      <c r="N247" s="293">
        <v>46274</v>
      </c>
      <c r="O247" s="332" t="s">
        <v>1910</v>
      </c>
      <c r="P247" s="3" t="s">
        <v>1264</v>
      </c>
      <c r="Q247" s="330" t="s">
        <v>69</v>
      </c>
      <c r="R247" s="365" t="s">
        <v>1058</v>
      </c>
      <c r="S247" s="365" t="s">
        <v>1426</v>
      </c>
      <c r="T247" s="327">
        <v>700</v>
      </c>
      <c r="U247" s="327">
        <v>3</v>
      </c>
      <c r="V247" s="373"/>
      <c r="W247" s="292"/>
      <c r="X247" s="291" t="s">
        <v>1502</v>
      </c>
      <c r="Y247" s="292"/>
      <c r="Z247" s="291" t="s">
        <v>2155</v>
      </c>
      <c r="AA247" s="291"/>
      <c r="AB247" s="291"/>
      <c r="AC247" s="291"/>
      <c r="AD247" s="291"/>
      <c r="AE247" s="291"/>
      <c r="AF247" s="292"/>
      <c r="AG247" s="292"/>
    </row>
    <row r="248" spans="1:33" s="49" customFormat="1" ht="17.399999999999999">
      <c r="A248" s="74">
        <f t="shared" si="7"/>
        <v>247</v>
      </c>
      <c r="B248" s="123" t="s">
        <v>281</v>
      </c>
      <c r="C248" s="123" t="s">
        <v>341</v>
      </c>
      <c r="D248" s="121" t="s">
        <v>143</v>
      </c>
      <c r="E248" s="123" t="s">
        <v>53</v>
      </c>
      <c r="F248" s="123" t="s">
        <v>222</v>
      </c>
      <c r="G248" s="123" t="s">
        <v>442</v>
      </c>
      <c r="H248" s="118" t="s">
        <v>437</v>
      </c>
      <c r="I248" s="86" t="str">
        <f t="shared" ref="I248:I284" si="8">LEFT(K248,2)</f>
        <v>서울</v>
      </c>
      <c r="J248" s="86" t="s">
        <v>557</v>
      </c>
      <c r="K248" s="127" t="s">
        <v>97</v>
      </c>
      <c r="L248" s="155" t="s">
        <v>157</v>
      </c>
      <c r="M248" s="123" t="s">
        <v>81</v>
      </c>
      <c r="N248" s="120">
        <v>43928</v>
      </c>
      <c r="O248" s="126" t="s">
        <v>156</v>
      </c>
      <c r="P248" s="123" t="s">
        <v>1233</v>
      </c>
      <c r="Q248" s="121" t="s">
        <v>77</v>
      </c>
      <c r="R248" s="121" t="s">
        <v>872</v>
      </c>
      <c r="S248" s="74" t="s">
        <v>1237</v>
      </c>
      <c r="T248" s="123" t="s">
        <v>54</v>
      </c>
      <c r="U248" s="232">
        <v>1</v>
      </c>
      <c r="V248" s="121"/>
      <c r="W248" s="123"/>
      <c r="X248" s="123" t="s">
        <v>1482</v>
      </c>
      <c r="Y248" s="125"/>
      <c r="Z248" s="123" t="s">
        <v>2150</v>
      </c>
      <c r="AA248" s="393" t="s">
        <v>1833</v>
      </c>
      <c r="AB248" s="393" t="s">
        <v>1832</v>
      </c>
      <c r="AC248" s="393"/>
      <c r="AD248" s="393"/>
      <c r="AE248" s="393"/>
      <c r="AF248" s="233" t="s">
        <v>2429</v>
      </c>
      <c r="AG248" s="125" t="s">
        <v>2325</v>
      </c>
    </row>
    <row r="249" spans="1:33" ht="17.399999999999999">
      <c r="A249" s="30">
        <f t="shared" si="7"/>
        <v>248</v>
      </c>
      <c r="B249" s="13" t="s">
        <v>62</v>
      </c>
      <c r="C249" s="13" t="s">
        <v>388</v>
      </c>
      <c r="D249" s="30" t="s">
        <v>143</v>
      </c>
      <c r="E249" s="13" t="s">
        <v>4</v>
      </c>
      <c r="F249" s="16" t="s">
        <v>222</v>
      </c>
      <c r="G249" s="16" t="s">
        <v>442</v>
      </c>
      <c r="H249" s="13" t="s">
        <v>19</v>
      </c>
      <c r="I249" s="51" t="str">
        <f t="shared" si="8"/>
        <v>경기</v>
      </c>
      <c r="J249" s="51" t="s">
        <v>565</v>
      </c>
      <c r="K249" s="92" t="s">
        <v>33</v>
      </c>
      <c r="L249" s="13" t="s">
        <v>128</v>
      </c>
      <c r="M249" s="13" t="s">
        <v>7</v>
      </c>
      <c r="N249" s="25">
        <v>43539</v>
      </c>
      <c r="O249" s="25">
        <v>43376</v>
      </c>
      <c r="P249" s="25" t="s">
        <v>1233</v>
      </c>
      <c r="Q249" s="30" t="s">
        <v>77</v>
      </c>
      <c r="R249" s="30" t="s">
        <v>872</v>
      </c>
      <c r="S249" s="217"/>
      <c r="T249" s="13">
        <v>700</v>
      </c>
      <c r="U249" s="218">
        <v>1</v>
      </c>
      <c r="V249" s="14"/>
      <c r="W249" s="7"/>
      <c r="X249" s="7" t="s">
        <v>1482</v>
      </c>
      <c r="Y249" s="88"/>
      <c r="Z249" s="7" t="s">
        <v>2150</v>
      </c>
      <c r="AA249" s="47" t="s">
        <v>1831</v>
      </c>
      <c r="AB249" s="47" t="s">
        <v>1830</v>
      </c>
      <c r="AC249" s="47"/>
      <c r="AD249" s="47"/>
      <c r="AE249" s="47"/>
      <c r="AF249" s="8" t="s">
        <v>2207</v>
      </c>
      <c r="AG249" s="88"/>
    </row>
    <row r="250" spans="1:33" s="87" customFormat="1" ht="31.2">
      <c r="A250" s="65">
        <f t="shared" si="7"/>
        <v>249</v>
      </c>
      <c r="B250" s="90" t="s">
        <v>2152</v>
      </c>
      <c r="C250" s="90" t="s">
        <v>390</v>
      </c>
      <c r="D250" s="65" t="s">
        <v>143</v>
      </c>
      <c r="E250" s="90" t="s">
        <v>4</v>
      </c>
      <c r="F250" s="90" t="s">
        <v>142</v>
      </c>
      <c r="G250" s="90" t="s">
        <v>441</v>
      </c>
      <c r="H250" s="90" t="s">
        <v>37</v>
      </c>
      <c r="I250" s="66" t="str">
        <f t="shared" si="8"/>
        <v>충북</v>
      </c>
      <c r="J250" s="66" t="s">
        <v>569</v>
      </c>
      <c r="K250" s="239" t="s">
        <v>38</v>
      </c>
      <c r="L250" s="90" t="s">
        <v>185</v>
      </c>
      <c r="M250" s="90" t="s">
        <v>56</v>
      </c>
      <c r="N250" s="93">
        <v>43605</v>
      </c>
      <c r="O250" s="93">
        <v>43410</v>
      </c>
      <c r="P250" s="93" t="s">
        <v>1233</v>
      </c>
      <c r="Q250" s="316" t="s">
        <v>153</v>
      </c>
      <c r="R250" s="65" t="s">
        <v>872</v>
      </c>
      <c r="S250" s="317"/>
      <c r="T250" s="90">
        <v>700</v>
      </c>
      <c r="U250" s="237">
        <v>1</v>
      </c>
      <c r="V250" s="85"/>
      <c r="W250" s="89"/>
      <c r="X250" s="89" t="s">
        <v>1482</v>
      </c>
      <c r="Y250" s="238"/>
      <c r="Z250" s="89" t="s">
        <v>2150</v>
      </c>
      <c r="AA250" s="397" t="s">
        <v>1829</v>
      </c>
      <c r="AB250" s="397" t="s">
        <v>1828</v>
      </c>
      <c r="AC250" s="397" t="s">
        <v>1923</v>
      </c>
      <c r="AD250" s="397" t="s">
        <v>1920</v>
      </c>
      <c r="AE250" s="397"/>
      <c r="AF250" s="116" t="s">
        <v>2212</v>
      </c>
      <c r="AG250" s="238"/>
    </row>
    <row r="251" spans="1:33" ht="34.799999999999997">
      <c r="A251" s="30">
        <f t="shared" si="7"/>
        <v>250</v>
      </c>
      <c r="B251" s="13" t="s">
        <v>151</v>
      </c>
      <c r="C251" s="13" t="s">
        <v>384</v>
      </c>
      <c r="D251" s="30" t="s">
        <v>143</v>
      </c>
      <c r="E251" s="13" t="s">
        <v>4</v>
      </c>
      <c r="F251" s="16" t="s">
        <v>142</v>
      </c>
      <c r="G251" s="16" t="s">
        <v>441</v>
      </c>
      <c r="H251" s="13" t="s">
        <v>96</v>
      </c>
      <c r="I251" s="51" t="str">
        <f t="shared" si="8"/>
        <v>대전</v>
      </c>
      <c r="J251" s="51" t="s">
        <v>569</v>
      </c>
      <c r="K251" s="92" t="s">
        <v>91</v>
      </c>
      <c r="L251" s="13" t="s">
        <v>186</v>
      </c>
      <c r="M251" s="13" t="s">
        <v>22</v>
      </c>
      <c r="N251" s="25">
        <v>43595</v>
      </c>
      <c r="O251" s="25" t="s">
        <v>831</v>
      </c>
      <c r="P251" s="25" t="s">
        <v>1233</v>
      </c>
      <c r="Q251" s="14" t="s">
        <v>77</v>
      </c>
      <c r="R251" s="30" t="s">
        <v>872</v>
      </c>
      <c r="S251" s="30" t="s">
        <v>1237</v>
      </c>
      <c r="T251" s="13">
        <v>700</v>
      </c>
      <c r="U251" s="218">
        <v>2</v>
      </c>
      <c r="V251" s="228" t="s">
        <v>1343</v>
      </c>
      <c r="W251" s="7"/>
      <c r="X251" s="22" t="s">
        <v>1482</v>
      </c>
      <c r="Y251" s="88"/>
      <c r="Z251" s="7" t="s">
        <v>2150</v>
      </c>
      <c r="AA251" s="47" t="s">
        <v>1827</v>
      </c>
      <c r="AB251" s="357" t="s">
        <v>2501</v>
      </c>
      <c r="AC251" s="47"/>
      <c r="AD251" s="47"/>
      <c r="AE251" s="47"/>
      <c r="AF251" s="8" t="s">
        <v>2211</v>
      </c>
      <c r="AG251" s="234" t="s">
        <v>1850</v>
      </c>
    </row>
    <row r="252" spans="1:33" ht="31.2">
      <c r="A252" s="30">
        <f t="shared" si="7"/>
        <v>251</v>
      </c>
      <c r="B252" s="7" t="s">
        <v>192</v>
      </c>
      <c r="C252" s="7" t="s">
        <v>338</v>
      </c>
      <c r="D252" s="14" t="s">
        <v>143</v>
      </c>
      <c r="E252" s="7" t="s">
        <v>4</v>
      </c>
      <c r="F252" s="16" t="s">
        <v>142</v>
      </c>
      <c r="G252" s="16" t="s">
        <v>441</v>
      </c>
      <c r="H252" s="16" t="s">
        <v>409</v>
      </c>
      <c r="I252" s="51" t="str">
        <f t="shared" si="8"/>
        <v>서울</v>
      </c>
      <c r="J252" s="51" t="s">
        <v>557</v>
      </c>
      <c r="K252" s="96" t="s">
        <v>58</v>
      </c>
      <c r="L252" s="7" t="s">
        <v>107</v>
      </c>
      <c r="M252" s="7" t="s">
        <v>59</v>
      </c>
      <c r="N252" s="24">
        <v>43704</v>
      </c>
      <c r="O252" s="24" t="s">
        <v>790</v>
      </c>
      <c r="P252" s="24" t="s">
        <v>1233</v>
      </c>
      <c r="Q252" s="14" t="s">
        <v>77</v>
      </c>
      <c r="R252" s="14" t="s">
        <v>872</v>
      </c>
      <c r="S252" s="30" t="s">
        <v>1237</v>
      </c>
      <c r="T252" s="7" t="s">
        <v>54</v>
      </c>
      <c r="U252" s="225">
        <v>2</v>
      </c>
      <c r="V252" s="228" t="s">
        <v>1345</v>
      </c>
      <c r="W252" s="7"/>
      <c r="X252" s="22" t="s">
        <v>1482</v>
      </c>
      <c r="Y252" s="88"/>
      <c r="Z252" s="7" t="s">
        <v>2150</v>
      </c>
      <c r="AA252" s="47" t="s">
        <v>1826</v>
      </c>
      <c r="AB252" s="47" t="s">
        <v>1825</v>
      </c>
      <c r="AC252" s="47"/>
      <c r="AD252" s="47"/>
      <c r="AE252" s="47"/>
      <c r="AF252" s="8" t="s">
        <v>2216</v>
      </c>
      <c r="AG252" s="220"/>
    </row>
    <row r="253" spans="1:33" s="49" customFormat="1" ht="62.4">
      <c r="A253" s="412">
        <f t="shared" si="7"/>
        <v>252</v>
      </c>
      <c r="B253" s="118" t="s">
        <v>286</v>
      </c>
      <c r="C253" s="118" t="s">
        <v>395</v>
      </c>
      <c r="D253" s="74" t="s">
        <v>143</v>
      </c>
      <c r="E253" s="159" t="s">
        <v>4</v>
      </c>
      <c r="F253" s="118" t="s">
        <v>145</v>
      </c>
      <c r="G253" s="118" t="s">
        <v>441</v>
      </c>
      <c r="H253" s="123" t="s">
        <v>286</v>
      </c>
      <c r="I253" s="86" t="str">
        <f t="shared" si="8"/>
        <v>광주</v>
      </c>
      <c r="J253" s="86" t="s">
        <v>568</v>
      </c>
      <c r="K253" s="156" t="s">
        <v>215</v>
      </c>
      <c r="L253" s="157" t="s">
        <v>216</v>
      </c>
      <c r="M253" s="118" t="s">
        <v>134</v>
      </c>
      <c r="N253" s="120">
        <v>44088</v>
      </c>
      <c r="O253" s="120" t="s">
        <v>1155</v>
      </c>
      <c r="P253" s="118" t="s">
        <v>1233</v>
      </c>
      <c r="Q253" s="136" t="s">
        <v>114</v>
      </c>
      <c r="R253" s="97" t="s">
        <v>872</v>
      </c>
      <c r="S253" s="404" t="s">
        <v>872</v>
      </c>
      <c r="T253" s="123" t="s">
        <v>67</v>
      </c>
      <c r="U253" s="404">
        <v>4</v>
      </c>
      <c r="V253" s="118" t="s">
        <v>2502</v>
      </c>
      <c r="W253" s="48"/>
      <c r="X253" s="48" t="s">
        <v>1482</v>
      </c>
      <c r="Y253" s="48"/>
      <c r="Z253" s="48" t="s">
        <v>2155</v>
      </c>
      <c r="AA253" s="392" t="s">
        <v>1824</v>
      </c>
      <c r="AB253" s="392" t="s">
        <v>1823</v>
      </c>
      <c r="AC253" s="392" t="s">
        <v>1923</v>
      </c>
      <c r="AD253" s="392" t="s">
        <v>1920</v>
      </c>
      <c r="AE253" s="402" t="s">
        <v>2287</v>
      </c>
      <c r="AF253" s="156" t="s">
        <v>2430</v>
      </c>
      <c r="AG253" s="161" t="s">
        <v>2431</v>
      </c>
    </row>
    <row r="254" spans="1:33" ht="17.399999999999999">
      <c r="A254" s="30">
        <f t="shared" si="7"/>
        <v>253</v>
      </c>
      <c r="B254" s="13" t="s">
        <v>189</v>
      </c>
      <c r="C254" s="13" t="s">
        <v>427</v>
      </c>
      <c r="D254" s="30" t="s">
        <v>143</v>
      </c>
      <c r="E254" s="13" t="s">
        <v>4</v>
      </c>
      <c r="F254" s="16" t="s">
        <v>146</v>
      </c>
      <c r="G254" s="16" t="s">
        <v>442</v>
      </c>
      <c r="H254" s="13" t="s">
        <v>42</v>
      </c>
      <c r="I254" s="51" t="str">
        <f t="shared" si="8"/>
        <v>전남</v>
      </c>
      <c r="J254" s="51" t="s">
        <v>568</v>
      </c>
      <c r="K254" s="92" t="s">
        <v>52</v>
      </c>
      <c r="L254" s="13" t="s">
        <v>188</v>
      </c>
      <c r="M254" s="13" t="s">
        <v>134</v>
      </c>
      <c r="N254" s="25">
        <v>43614</v>
      </c>
      <c r="O254" s="25">
        <v>43451</v>
      </c>
      <c r="P254" s="25" t="s">
        <v>1233</v>
      </c>
      <c r="Q254" s="14" t="s">
        <v>77</v>
      </c>
      <c r="R254" s="30" t="s">
        <v>872</v>
      </c>
      <c r="S254" s="217"/>
      <c r="T254" s="13">
        <v>700</v>
      </c>
      <c r="U254" s="218">
        <v>1</v>
      </c>
      <c r="V254" s="14"/>
      <c r="W254" s="7"/>
      <c r="X254" s="7" t="s">
        <v>1482</v>
      </c>
      <c r="Y254" s="88"/>
      <c r="Z254" s="7" t="s">
        <v>2150</v>
      </c>
      <c r="AA254" s="47" t="s">
        <v>1822</v>
      </c>
      <c r="AB254" s="47" t="s">
        <v>1821</v>
      </c>
      <c r="AC254" s="47"/>
      <c r="AD254" s="47"/>
      <c r="AE254" s="47"/>
      <c r="AF254" s="8" t="s">
        <v>2213</v>
      </c>
      <c r="AG254" s="88"/>
    </row>
    <row r="255" spans="1:33" ht="31.2">
      <c r="A255" s="30">
        <f t="shared" si="7"/>
        <v>254</v>
      </c>
      <c r="B255" s="13" t="s">
        <v>177</v>
      </c>
      <c r="C255" s="13" t="s">
        <v>332</v>
      </c>
      <c r="D255" s="30" t="s">
        <v>111</v>
      </c>
      <c r="E255" s="13" t="s">
        <v>4</v>
      </c>
      <c r="F255" s="16" t="s">
        <v>146</v>
      </c>
      <c r="G255" s="16" t="s">
        <v>442</v>
      </c>
      <c r="H255" s="13" t="s">
        <v>1387</v>
      </c>
      <c r="I255" s="51" t="str">
        <f t="shared" si="8"/>
        <v>울산</v>
      </c>
      <c r="J255" s="51" t="s">
        <v>564</v>
      </c>
      <c r="K255" s="92" t="s">
        <v>28</v>
      </c>
      <c r="L255" s="13" t="s">
        <v>150</v>
      </c>
      <c r="M255" s="13" t="s">
        <v>8</v>
      </c>
      <c r="N255" s="25">
        <v>43004</v>
      </c>
      <c r="O255" s="25" t="s">
        <v>681</v>
      </c>
      <c r="P255" s="25" t="s">
        <v>1233</v>
      </c>
      <c r="Q255" s="30" t="s">
        <v>77</v>
      </c>
      <c r="R255" s="30" t="s">
        <v>872</v>
      </c>
      <c r="S255" s="217" t="s">
        <v>872</v>
      </c>
      <c r="T255" s="13">
        <v>700</v>
      </c>
      <c r="U255" s="218">
        <v>2</v>
      </c>
      <c r="V255" s="228" t="s">
        <v>1341</v>
      </c>
      <c r="W255" s="7"/>
      <c r="X255" s="22" t="s">
        <v>1482</v>
      </c>
      <c r="Y255" s="88"/>
      <c r="Z255" s="7" t="s">
        <v>2155</v>
      </c>
      <c r="AA255" s="47" t="s">
        <v>1820</v>
      </c>
      <c r="AB255" s="47" t="s">
        <v>1819</v>
      </c>
      <c r="AC255" s="47"/>
      <c r="AD255" s="47"/>
      <c r="AE255" s="47"/>
      <c r="AF255" s="8" t="s">
        <v>2201</v>
      </c>
      <c r="AG255" s="220"/>
    </row>
    <row r="256" spans="1:33" ht="17.399999999999999">
      <c r="A256" s="30">
        <f t="shared" si="7"/>
        <v>255</v>
      </c>
      <c r="B256" s="13" t="s">
        <v>95</v>
      </c>
      <c r="C256" s="13" t="s">
        <v>335</v>
      </c>
      <c r="D256" s="30" t="s">
        <v>143</v>
      </c>
      <c r="E256" s="13" t="s">
        <v>4</v>
      </c>
      <c r="F256" s="16" t="s">
        <v>146</v>
      </c>
      <c r="G256" s="16" t="s">
        <v>443</v>
      </c>
      <c r="H256" s="13" t="s">
        <v>1388</v>
      </c>
      <c r="I256" s="51" t="str">
        <f t="shared" si="8"/>
        <v>울산</v>
      </c>
      <c r="J256" s="51" t="s">
        <v>564</v>
      </c>
      <c r="K256" s="92" t="s">
        <v>32</v>
      </c>
      <c r="L256" s="13" t="s">
        <v>180</v>
      </c>
      <c r="M256" s="13" t="s">
        <v>8</v>
      </c>
      <c r="N256" s="25">
        <v>43361</v>
      </c>
      <c r="O256" s="25">
        <v>43161</v>
      </c>
      <c r="P256" s="25" t="s">
        <v>1233</v>
      </c>
      <c r="Q256" s="30" t="s">
        <v>77</v>
      </c>
      <c r="R256" s="30" t="s">
        <v>872</v>
      </c>
      <c r="S256" s="217"/>
      <c r="T256" s="95" t="s">
        <v>54</v>
      </c>
      <c r="U256" s="218">
        <v>2</v>
      </c>
      <c r="V256" s="14"/>
      <c r="W256" s="7"/>
      <c r="X256" s="7" t="s">
        <v>1482</v>
      </c>
      <c r="Y256" s="88"/>
      <c r="Z256" s="7" t="s">
        <v>2155</v>
      </c>
      <c r="AA256" s="47" t="s">
        <v>1817</v>
      </c>
      <c r="AB256" s="47" t="s">
        <v>1816</v>
      </c>
      <c r="AC256" s="47"/>
      <c r="AD256" s="47"/>
      <c r="AE256" s="47"/>
      <c r="AF256" s="223" t="s">
        <v>2206</v>
      </c>
      <c r="AG256" s="222"/>
    </row>
    <row r="257" spans="1:89" ht="17.399999999999999">
      <c r="A257" s="30">
        <f t="shared" si="7"/>
        <v>256</v>
      </c>
      <c r="B257" s="13" t="s">
        <v>64</v>
      </c>
      <c r="C257" s="13" t="s">
        <v>383</v>
      </c>
      <c r="D257" s="30" t="s">
        <v>143</v>
      </c>
      <c r="E257" s="13" t="s">
        <v>4</v>
      </c>
      <c r="F257" s="16" t="s">
        <v>222</v>
      </c>
      <c r="G257" s="16" t="s">
        <v>441</v>
      </c>
      <c r="H257" s="13" t="s">
        <v>1389</v>
      </c>
      <c r="I257" s="51" t="str">
        <f t="shared" si="8"/>
        <v>울산</v>
      </c>
      <c r="J257" s="51" t="s">
        <v>564</v>
      </c>
      <c r="K257" s="92" t="s">
        <v>34</v>
      </c>
      <c r="L257" s="13" t="s">
        <v>127</v>
      </c>
      <c r="M257" s="13" t="s">
        <v>8</v>
      </c>
      <c r="N257" s="25">
        <v>43552</v>
      </c>
      <c r="O257" s="25">
        <v>43417</v>
      </c>
      <c r="P257" s="25" t="s">
        <v>1233</v>
      </c>
      <c r="Q257" s="14" t="s">
        <v>77</v>
      </c>
      <c r="R257" s="30" t="s">
        <v>872</v>
      </c>
      <c r="S257" s="217"/>
      <c r="T257" s="13">
        <v>700</v>
      </c>
      <c r="U257" s="218">
        <v>2</v>
      </c>
      <c r="V257" s="14"/>
      <c r="W257" s="7"/>
      <c r="X257" s="7" t="s">
        <v>1482</v>
      </c>
      <c r="Y257" s="88"/>
      <c r="Z257" s="7" t="s">
        <v>2150</v>
      </c>
      <c r="AA257" s="47" t="s">
        <v>1815</v>
      </c>
      <c r="AB257" s="47" t="s">
        <v>1814</v>
      </c>
      <c r="AC257" s="47"/>
      <c r="AD257" s="47"/>
      <c r="AE257" s="47"/>
      <c r="AF257" s="8" t="s">
        <v>2209</v>
      </c>
      <c r="AG257" s="88"/>
    </row>
    <row r="258" spans="1:89" ht="62.4">
      <c r="A258" s="30">
        <f t="shared" si="7"/>
        <v>257</v>
      </c>
      <c r="B258" s="13" t="s">
        <v>48</v>
      </c>
      <c r="C258" s="13" t="s">
        <v>428</v>
      </c>
      <c r="D258" s="30" t="s">
        <v>143</v>
      </c>
      <c r="E258" s="13" t="s">
        <v>4</v>
      </c>
      <c r="F258" s="16" t="s">
        <v>146</v>
      </c>
      <c r="G258" s="16" t="s">
        <v>442</v>
      </c>
      <c r="H258" s="13" t="s">
        <v>1390</v>
      </c>
      <c r="I258" s="51" t="str">
        <f t="shared" si="8"/>
        <v>울산</v>
      </c>
      <c r="J258" s="51" t="s">
        <v>564</v>
      </c>
      <c r="K258" s="92" t="s">
        <v>49</v>
      </c>
      <c r="L258" s="13" t="s">
        <v>50</v>
      </c>
      <c r="M258" s="13" t="s">
        <v>51</v>
      </c>
      <c r="N258" s="25">
        <v>43623</v>
      </c>
      <c r="O258" s="25">
        <v>43460</v>
      </c>
      <c r="P258" s="25" t="s">
        <v>1233</v>
      </c>
      <c r="Q258" s="14" t="s">
        <v>77</v>
      </c>
      <c r="R258" s="30" t="s">
        <v>872</v>
      </c>
      <c r="S258" s="217"/>
      <c r="T258" s="13">
        <v>700</v>
      </c>
      <c r="U258" s="218">
        <v>1</v>
      </c>
      <c r="V258" s="14"/>
      <c r="W258" s="7"/>
      <c r="X258" s="7" t="s">
        <v>1482</v>
      </c>
      <c r="Y258" s="88"/>
      <c r="Z258" s="7" t="s">
        <v>2155</v>
      </c>
      <c r="AA258" s="47" t="s">
        <v>1930</v>
      </c>
      <c r="AB258" s="47" t="s">
        <v>1813</v>
      </c>
      <c r="AC258" s="47" t="s">
        <v>1931</v>
      </c>
      <c r="AD258" s="47" t="s">
        <v>1920</v>
      </c>
      <c r="AE258" s="47"/>
      <c r="AF258" s="32" t="s">
        <v>2422</v>
      </c>
      <c r="AG258" s="92" t="s">
        <v>2423</v>
      </c>
    </row>
    <row r="259" spans="1:89" s="151" customFormat="1" ht="31.2">
      <c r="A259" s="74">
        <f t="shared" ref="A259:A284" si="9">A258+1</f>
        <v>258</v>
      </c>
      <c r="B259" s="48" t="s">
        <v>236</v>
      </c>
      <c r="C259" s="48" t="s">
        <v>347</v>
      </c>
      <c r="D259" s="74" t="s">
        <v>111</v>
      </c>
      <c r="E259" s="48" t="s">
        <v>53</v>
      </c>
      <c r="F259" s="48" t="s">
        <v>222</v>
      </c>
      <c r="G259" s="48" t="s">
        <v>442</v>
      </c>
      <c r="H259" s="48" t="s">
        <v>409</v>
      </c>
      <c r="I259" s="86" t="str">
        <f t="shared" si="8"/>
        <v>강원</v>
      </c>
      <c r="J259" s="86" t="s">
        <v>566</v>
      </c>
      <c r="K259" s="75" t="s">
        <v>291</v>
      </c>
      <c r="L259" s="80" t="s">
        <v>290</v>
      </c>
      <c r="M259" s="48" t="s">
        <v>159</v>
      </c>
      <c r="N259" s="128">
        <v>44196</v>
      </c>
      <c r="O259" s="128">
        <v>44097</v>
      </c>
      <c r="P259" s="128" t="s">
        <v>1233</v>
      </c>
      <c r="Q259" s="48" t="s">
        <v>69</v>
      </c>
      <c r="R259" s="48" t="s">
        <v>40</v>
      </c>
      <c r="S259" s="74" t="s">
        <v>1238</v>
      </c>
      <c r="T259" s="48">
        <v>700</v>
      </c>
      <c r="U259" s="246">
        <v>1</v>
      </c>
      <c r="V259" s="48"/>
      <c r="W259" s="248"/>
      <c r="X259" s="48" t="s">
        <v>1482</v>
      </c>
      <c r="Y259" s="249"/>
      <c r="Z259" s="248" t="s">
        <v>2150</v>
      </c>
      <c r="AA259" s="392" t="s">
        <v>1812</v>
      </c>
      <c r="AB259" s="392" t="s">
        <v>1811</v>
      </c>
      <c r="AC259" s="392"/>
      <c r="AD259" s="392"/>
      <c r="AE259" s="392"/>
      <c r="AF259" s="125"/>
      <c r="AG259" s="233" t="s">
        <v>1479</v>
      </c>
      <c r="AH259" s="49"/>
      <c r="AI259" s="49"/>
      <c r="AJ259" s="49"/>
      <c r="AK259" s="49"/>
      <c r="AL259" s="49"/>
      <c r="AM259" s="49"/>
      <c r="AN259" s="49"/>
      <c r="AO259" s="49"/>
      <c r="AP259" s="49"/>
      <c r="AQ259" s="49"/>
      <c r="AR259" s="49"/>
      <c r="AS259" s="49"/>
      <c r="AT259" s="49"/>
      <c r="AU259" s="49"/>
      <c r="AV259" s="49"/>
      <c r="AW259" s="49"/>
      <c r="AX259" s="49"/>
      <c r="AY259" s="49"/>
      <c r="AZ259" s="49"/>
      <c r="BA259" s="49"/>
      <c r="BB259" s="49"/>
      <c r="BC259" s="49"/>
      <c r="BD259" s="49"/>
      <c r="BE259" s="49"/>
      <c r="BF259" s="49"/>
      <c r="BG259" s="49"/>
      <c r="BH259" s="49"/>
      <c r="BI259" s="49"/>
      <c r="BJ259" s="49"/>
      <c r="BK259" s="49"/>
      <c r="BL259" s="49"/>
      <c r="BM259" s="49"/>
      <c r="BN259" s="49"/>
      <c r="BO259" s="49"/>
      <c r="BP259" s="49"/>
      <c r="BQ259" s="49"/>
      <c r="BR259" s="49"/>
      <c r="BS259" s="49"/>
      <c r="BT259" s="49"/>
      <c r="BU259" s="49"/>
      <c r="BV259" s="49"/>
      <c r="BW259" s="49"/>
      <c r="BX259" s="49"/>
      <c r="BY259" s="49"/>
      <c r="BZ259" s="49"/>
      <c r="CA259" s="49"/>
      <c r="CB259" s="49"/>
      <c r="CC259" s="49"/>
      <c r="CD259" s="49"/>
      <c r="CE259" s="49"/>
      <c r="CF259" s="49"/>
      <c r="CG259" s="49"/>
      <c r="CH259" s="49"/>
      <c r="CI259" s="49"/>
      <c r="CJ259" s="49"/>
      <c r="CK259" s="49"/>
    </row>
    <row r="260" spans="1:89" s="151" customFormat="1" ht="34.799999999999997">
      <c r="A260" s="74">
        <f t="shared" si="9"/>
        <v>259</v>
      </c>
      <c r="B260" s="118" t="s">
        <v>172</v>
      </c>
      <c r="C260" s="118" t="s">
        <v>327</v>
      </c>
      <c r="D260" s="74" t="s">
        <v>112</v>
      </c>
      <c r="E260" s="118" t="s">
        <v>144</v>
      </c>
      <c r="F260" s="118" t="s">
        <v>142</v>
      </c>
      <c r="G260" s="118" t="s">
        <v>441</v>
      </c>
      <c r="H260" s="118" t="s">
        <v>399</v>
      </c>
      <c r="I260" s="86" t="str">
        <f t="shared" si="8"/>
        <v>서울</v>
      </c>
      <c r="J260" s="86" t="s">
        <v>557</v>
      </c>
      <c r="K260" s="119" t="s">
        <v>24</v>
      </c>
      <c r="L260" s="118" t="s">
        <v>152</v>
      </c>
      <c r="M260" s="118" t="s">
        <v>11</v>
      </c>
      <c r="N260" s="120">
        <v>40449</v>
      </c>
      <c r="O260" s="120" t="s">
        <v>316</v>
      </c>
      <c r="P260" s="120" t="s">
        <v>1233</v>
      </c>
      <c r="Q260" s="74" t="s">
        <v>69</v>
      </c>
      <c r="R260" s="74" t="s">
        <v>869</v>
      </c>
      <c r="S260" s="231"/>
      <c r="T260" s="118" t="s">
        <v>68</v>
      </c>
      <c r="U260" s="232">
        <v>1</v>
      </c>
      <c r="V260" s="74" t="s">
        <v>1339</v>
      </c>
      <c r="W260" s="248"/>
      <c r="X260" s="48" t="s">
        <v>1482</v>
      </c>
      <c r="Y260" s="249"/>
      <c r="Z260" s="248" t="s">
        <v>2155</v>
      </c>
      <c r="AA260" s="392" t="s">
        <v>1810</v>
      </c>
      <c r="AB260" s="392" t="s">
        <v>1809</v>
      </c>
      <c r="AC260" s="392" t="s">
        <v>1874</v>
      </c>
      <c r="AD260" s="392">
        <v>502</v>
      </c>
      <c r="AE260" s="402" t="s">
        <v>2508</v>
      </c>
      <c r="AF260" s="364" t="s">
        <v>1911</v>
      </c>
      <c r="AG260" s="161"/>
      <c r="AH260" s="49"/>
      <c r="AI260" s="49"/>
      <c r="AJ260" s="49"/>
      <c r="AK260" s="49"/>
      <c r="AL260" s="49"/>
      <c r="AM260" s="49"/>
      <c r="AN260" s="49"/>
      <c r="AO260" s="49"/>
      <c r="AP260" s="49"/>
      <c r="AQ260" s="49"/>
      <c r="AR260" s="49"/>
      <c r="AS260" s="49"/>
      <c r="AT260" s="49"/>
      <c r="AU260" s="49"/>
      <c r="AV260" s="49"/>
      <c r="AW260" s="49"/>
      <c r="AX260" s="49"/>
      <c r="AY260" s="49"/>
      <c r="AZ260" s="49"/>
      <c r="BA260" s="49"/>
      <c r="BB260" s="49"/>
      <c r="BC260" s="49"/>
      <c r="BD260" s="49"/>
      <c r="BE260" s="49"/>
      <c r="BF260" s="49"/>
      <c r="BG260" s="49"/>
      <c r="BH260" s="49"/>
      <c r="BI260" s="49"/>
      <c r="BJ260" s="49"/>
      <c r="BK260" s="49"/>
      <c r="BL260" s="49"/>
      <c r="BM260" s="49"/>
      <c r="BN260" s="49"/>
      <c r="BO260" s="49"/>
      <c r="BP260" s="49"/>
      <c r="BQ260" s="49"/>
      <c r="BR260" s="49"/>
      <c r="BS260" s="49"/>
      <c r="BT260" s="49"/>
      <c r="BU260" s="49"/>
      <c r="BV260" s="49"/>
      <c r="BW260" s="49"/>
      <c r="BX260" s="49"/>
      <c r="BY260" s="49"/>
      <c r="BZ260" s="49"/>
      <c r="CA260" s="49"/>
      <c r="CB260" s="49"/>
      <c r="CC260" s="49"/>
      <c r="CD260" s="49"/>
      <c r="CE260" s="49"/>
      <c r="CF260" s="49"/>
      <c r="CG260" s="49"/>
      <c r="CH260" s="49"/>
      <c r="CI260" s="49"/>
      <c r="CJ260" s="49"/>
      <c r="CK260" s="49"/>
    </row>
    <row r="261" spans="1:89" s="49" customFormat="1" ht="31.2">
      <c r="A261" s="74">
        <f t="shared" si="9"/>
        <v>260</v>
      </c>
      <c r="B261" s="48" t="s">
        <v>225</v>
      </c>
      <c r="C261" s="48" t="s">
        <v>357</v>
      </c>
      <c r="D261" s="97" t="s">
        <v>111</v>
      </c>
      <c r="E261" s="48" t="s">
        <v>53</v>
      </c>
      <c r="F261" s="48" t="s">
        <v>145</v>
      </c>
      <c r="G261" s="48" t="s">
        <v>441</v>
      </c>
      <c r="H261" s="82" t="s">
        <v>414</v>
      </c>
      <c r="I261" s="86" t="str">
        <f t="shared" si="8"/>
        <v>충북</v>
      </c>
      <c r="J261" s="86" t="s">
        <v>569</v>
      </c>
      <c r="K261" s="79" t="s">
        <v>265</v>
      </c>
      <c r="L261" s="80" t="s">
        <v>226</v>
      </c>
      <c r="M261" s="48" t="s">
        <v>56</v>
      </c>
      <c r="N261" s="128">
        <v>44195</v>
      </c>
      <c r="O261" s="128">
        <v>44021</v>
      </c>
      <c r="P261" s="128" t="s">
        <v>1233</v>
      </c>
      <c r="Q261" s="48" t="s">
        <v>69</v>
      </c>
      <c r="R261" s="123" t="s">
        <v>869</v>
      </c>
      <c r="S261" s="74" t="s">
        <v>1238</v>
      </c>
      <c r="T261" s="48">
        <v>700</v>
      </c>
      <c r="U261" s="232">
        <v>1</v>
      </c>
      <c r="V261" s="48"/>
      <c r="W261" s="248"/>
      <c r="X261" s="48" t="s">
        <v>1482</v>
      </c>
      <c r="Y261" s="249"/>
      <c r="Z261" s="248" t="s">
        <v>2150</v>
      </c>
      <c r="AA261" s="392" t="s">
        <v>1808</v>
      </c>
      <c r="AB261" s="392" t="s">
        <v>1807</v>
      </c>
      <c r="AC261" s="392"/>
      <c r="AD261" s="392"/>
      <c r="AE261" s="392"/>
      <c r="AF261" s="233" t="s">
        <v>1856</v>
      </c>
      <c r="AG261" s="125" t="s">
        <v>1487</v>
      </c>
    </row>
    <row r="262" spans="1:89" ht="17.399999999999999">
      <c r="A262" s="30">
        <f t="shared" si="9"/>
        <v>261</v>
      </c>
      <c r="B262" s="13" t="s">
        <v>175</v>
      </c>
      <c r="C262" s="13" t="s">
        <v>331</v>
      </c>
      <c r="D262" s="30" t="s">
        <v>143</v>
      </c>
      <c r="E262" s="13" t="s">
        <v>4</v>
      </c>
      <c r="F262" s="16" t="s">
        <v>142</v>
      </c>
      <c r="G262" s="16" t="s">
        <v>441</v>
      </c>
      <c r="H262" s="13" t="s">
        <v>15</v>
      </c>
      <c r="I262" s="51" t="str">
        <f t="shared" si="8"/>
        <v>충남</v>
      </c>
      <c r="J262" s="51" t="s">
        <v>569</v>
      </c>
      <c r="K262" s="92" t="s">
        <v>26</v>
      </c>
      <c r="L262" s="13" t="s">
        <v>174</v>
      </c>
      <c r="M262" s="13" t="s">
        <v>16</v>
      </c>
      <c r="N262" s="25">
        <v>42261</v>
      </c>
      <c r="O262" s="25">
        <v>42074</v>
      </c>
      <c r="P262" s="25" t="s">
        <v>1233</v>
      </c>
      <c r="Q262" s="30" t="s">
        <v>69</v>
      </c>
      <c r="R262" s="30" t="s">
        <v>871</v>
      </c>
      <c r="S262" s="217"/>
      <c r="T262" s="13" t="s">
        <v>68</v>
      </c>
      <c r="U262" s="218">
        <v>1</v>
      </c>
      <c r="V262" s="14"/>
      <c r="W262" s="221"/>
      <c r="X262" s="7" t="s">
        <v>1482</v>
      </c>
      <c r="Y262" s="222"/>
      <c r="Z262" s="221" t="s">
        <v>2150</v>
      </c>
      <c r="AA262" s="47" t="s">
        <v>1806</v>
      </c>
      <c r="AB262" s="47" t="s">
        <v>1805</v>
      </c>
      <c r="AC262" s="47"/>
      <c r="AD262" s="47"/>
      <c r="AE262" s="47"/>
      <c r="AF262" s="223" t="s">
        <v>2199</v>
      </c>
      <c r="AG262" s="220"/>
    </row>
    <row r="263" spans="1:89" s="151" customFormat="1" ht="17.399999999999999">
      <c r="A263" s="30">
        <f t="shared" si="9"/>
        <v>262</v>
      </c>
      <c r="B263" s="13" t="s">
        <v>63</v>
      </c>
      <c r="C263" s="13" t="s">
        <v>389</v>
      </c>
      <c r="D263" s="30" t="s">
        <v>143</v>
      </c>
      <c r="E263" s="13" t="s">
        <v>4</v>
      </c>
      <c r="F263" s="16" t="s">
        <v>222</v>
      </c>
      <c r="G263" s="16" t="s">
        <v>442</v>
      </c>
      <c r="H263" s="13" t="s">
        <v>433</v>
      </c>
      <c r="I263" s="51" t="str">
        <f t="shared" si="8"/>
        <v>경기</v>
      </c>
      <c r="J263" s="51" t="s">
        <v>565</v>
      </c>
      <c r="K263" s="92" t="s">
        <v>2154</v>
      </c>
      <c r="L263" s="13" t="s">
        <v>181</v>
      </c>
      <c r="M263" s="13" t="s">
        <v>7</v>
      </c>
      <c r="N263" s="25">
        <v>43543</v>
      </c>
      <c r="O263" s="25">
        <v>43416</v>
      </c>
      <c r="P263" s="25" t="s">
        <v>1233</v>
      </c>
      <c r="Q263" s="14" t="s">
        <v>77</v>
      </c>
      <c r="R263" s="30" t="s">
        <v>871</v>
      </c>
      <c r="S263" s="217"/>
      <c r="T263" s="13">
        <v>700</v>
      </c>
      <c r="U263" s="218">
        <v>1</v>
      </c>
      <c r="V263" s="14"/>
      <c r="W263" s="7"/>
      <c r="X263" s="7" t="s">
        <v>1482</v>
      </c>
      <c r="Y263" s="88"/>
      <c r="Z263" s="7" t="s">
        <v>2150</v>
      </c>
      <c r="AA263" s="47" t="s">
        <v>1804</v>
      </c>
      <c r="AB263" s="47" t="s">
        <v>1803</v>
      </c>
      <c r="AC263" s="47"/>
      <c r="AD263" s="47"/>
      <c r="AE263" s="47"/>
      <c r="AF263" s="8" t="s">
        <v>2208</v>
      </c>
      <c r="AG263" s="88"/>
      <c r="AH263" s="49"/>
      <c r="AI263" s="49"/>
      <c r="AJ263" s="49"/>
      <c r="AK263" s="49"/>
      <c r="AL263" s="49"/>
      <c r="AM263" s="49"/>
      <c r="AN263" s="49"/>
      <c r="AO263" s="49"/>
      <c r="AP263" s="49"/>
      <c r="AQ263" s="49"/>
      <c r="AR263" s="49"/>
      <c r="AS263" s="49"/>
      <c r="AT263" s="49"/>
      <c r="AU263" s="49"/>
      <c r="AV263" s="49"/>
      <c r="AW263" s="49"/>
      <c r="AX263" s="49"/>
      <c r="AY263" s="49"/>
      <c r="AZ263" s="49"/>
      <c r="BA263" s="49"/>
      <c r="BB263" s="49"/>
      <c r="BC263" s="49"/>
      <c r="BD263" s="49"/>
      <c r="BE263" s="49"/>
      <c r="BF263" s="49"/>
      <c r="BG263" s="49"/>
      <c r="BH263" s="49"/>
      <c r="BI263" s="49"/>
      <c r="BJ263" s="49"/>
      <c r="BK263" s="49"/>
      <c r="BL263" s="49"/>
      <c r="BM263" s="49"/>
      <c r="BN263" s="49"/>
      <c r="BO263" s="49"/>
      <c r="BP263" s="49"/>
      <c r="BQ263" s="49"/>
      <c r="BR263" s="49"/>
      <c r="BS263" s="49"/>
      <c r="BT263" s="49"/>
      <c r="BU263" s="49"/>
      <c r="BV263" s="49"/>
      <c r="BW263" s="49"/>
      <c r="BX263" s="49"/>
      <c r="BY263" s="49"/>
      <c r="BZ263" s="49"/>
      <c r="CA263" s="49"/>
      <c r="CB263" s="49"/>
      <c r="CC263" s="49"/>
      <c r="CD263" s="49"/>
      <c r="CE263" s="49"/>
      <c r="CF263" s="49"/>
      <c r="CG263" s="49"/>
      <c r="CH263" s="49"/>
      <c r="CI263" s="49"/>
      <c r="CJ263" s="49"/>
      <c r="CK263" s="49"/>
    </row>
    <row r="264" spans="1:89" ht="17.399999999999999">
      <c r="A264" s="30">
        <f t="shared" si="9"/>
        <v>263</v>
      </c>
      <c r="B264" s="13" t="s">
        <v>182</v>
      </c>
      <c r="C264" s="13" t="s">
        <v>426</v>
      </c>
      <c r="D264" s="30" t="s">
        <v>143</v>
      </c>
      <c r="E264" s="13" t="s">
        <v>4</v>
      </c>
      <c r="F264" s="16" t="s">
        <v>405</v>
      </c>
      <c r="G264" s="16" t="s">
        <v>442</v>
      </c>
      <c r="H264" s="13" t="s">
        <v>434</v>
      </c>
      <c r="I264" s="51" t="str">
        <f t="shared" si="8"/>
        <v>경기</v>
      </c>
      <c r="J264" s="51" t="s">
        <v>565</v>
      </c>
      <c r="K264" s="92" t="s">
        <v>35</v>
      </c>
      <c r="L264" s="13" t="s">
        <v>45</v>
      </c>
      <c r="M264" s="13" t="s">
        <v>5</v>
      </c>
      <c r="N264" s="25">
        <v>43560</v>
      </c>
      <c r="O264" s="25">
        <v>43543</v>
      </c>
      <c r="P264" s="25" t="s">
        <v>1233</v>
      </c>
      <c r="Q264" s="14" t="s">
        <v>77</v>
      </c>
      <c r="R264" s="30" t="s">
        <v>871</v>
      </c>
      <c r="S264" s="217"/>
      <c r="T264" s="13">
        <v>700</v>
      </c>
      <c r="U264" s="218">
        <v>1</v>
      </c>
      <c r="V264" s="14"/>
      <c r="W264" s="7"/>
      <c r="X264" s="7" t="s">
        <v>1482</v>
      </c>
      <c r="Y264" s="88"/>
      <c r="Z264" s="7" t="s">
        <v>2150</v>
      </c>
      <c r="AA264" s="47" t="s">
        <v>1802</v>
      </c>
      <c r="AB264" s="47" t="s">
        <v>1801</v>
      </c>
      <c r="AC264" s="47"/>
      <c r="AD264" s="47"/>
      <c r="AE264" s="47"/>
      <c r="AF264" s="363" t="s">
        <v>2210</v>
      </c>
      <c r="AG264" s="88"/>
    </row>
    <row r="265" spans="1:89" ht="34.799999999999997">
      <c r="A265" s="30">
        <f t="shared" si="9"/>
        <v>264</v>
      </c>
      <c r="B265" s="7" t="s">
        <v>279</v>
      </c>
      <c r="C265" s="7" t="s">
        <v>392</v>
      </c>
      <c r="D265" s="14" t="s">
        <v>143</v>
      </c>
      <c r="E265" s="16" t="s">
        <v>4</v>
      </c>
      <c r="F265" s="16" t="s">
        <v>146</v>
      </c>
      <c r="G265" s="16" t="s">
        <v>442</v>
      </c>
      <c r="H265" s="16" t="s">
        <v>1391</v>
      </c>
      <c r="I265" s="51" t="str">
        <f t="shared" si="8"/>
        <v>경남</v>
      </c>
      <c r="J265" s="51" t="s">
        <v>564</v>
      </c>
      <c r="K265" s="96" t="s">
        <v>60</v>
      </c>
      <c r="L265" s="7" t="s">
        <v>190</v>
      </c>
      <c r="M265" s="7" t="s">
        <v>55</v>
      </c>
      <c r="N265" s="34">
        <v>43650</v>
      </c>
      <c r="O265" s="34">
        <v>43564</v>
      </c>
      <c r="P265" s="34" t="s">
        <v>1233</v>
      </c>
      <c r="Q265" s="14" t="s">
        <v>69</v>
      </c>
      <c r="R265" s="14" t="s">
        <v>871</v>
      </c>
      <c r="S265" s="225"/>
      <c r="T265" s="7" t="s">
        <v>54</v>
      </c>
      <c r="U265" s="225">
        <v>1</v>
      </c>
      <c r="V265" s="14"/>
      <c r="W265" s="7"/>
      <c r="X265" s="7" t="s">
        <v>1482</v>
      </c>
      <c r="Y265" s="88"/>
      <c r="Z265" s="7" t="s">
        <v>2150</v>
      </c>
      <c r="AA265" s="47" t="s">
        <v>1932</v>
      </c>
      <c r="AB265" s="47" t="s">
        <v>1800</v>
      </c>
      <c r="AC265" s="47" t="s">
        <v>1923</v>
      </c>
      <c r="AD265" s="47" t="s">
        <v>1920</v>
      </c>
      <c r="AE265" s="357" t="s">
        <v>2286</v>
      </c>
      <c r="AF265" s="8" t="s">
        <v>2215</v>
      </c>
      <c r="AG265" s="88"/>
    </row>
    <row r="266" spans="1:89" ht="31.2">
      <c r="A266" s="30">
        <f t="shared" si="9"/>
        <v>265</v>
      </c>
      <c r="B266" s="13" t="s">
        <v>280</v>
      </c>
      <c r="C266" s="13" t="s">
        <v>429</v>
      </c>
      <c r="D266" s="30" t="s">
        <v>143</v>
      </c>
      <c r="E266" s="13" t="s">
        <v>4</v>
      </c>
      <c r="F266" s="16" t="s">
        <v>83</v>
      </c>
      <c r="G266" s="16" t="s">
        <v>442</v>
      </c>
      <c r="H266" s="16" t="s">
        <v>436</v>
      </c>
      <c r="I266" s="51" t="str">
        <f t="shared" si="8"/>
        <v>경기</v>
      </c>
      <c r="J266" s="51" t="s">
        <v>565</v>
      </c>
      <c r="K266" s="32" t="s">
        <v>561</v>
      </c>
      <c r="L266" s="13" t="s">
        <v>193</v>
      </c>
      <c r="M266" s="13" t="s">
        <v>5</v>
      </c>
      <c r="N266" s="34">
        <v>43732</v>
      </c>
      <c r="O266" s="34">
        <v>43556</v>
      </c>
      <c r="P266" s="34" t="s">
        <v>1233</v>
      </c>
      <c r="Q266" s="14" t="s">
        <v>77</v>
      </c>
      <c r="R266" s="14" t="s">
        <v>871</v>
      </c>
      <c r="S266" s="225" t="s">
        <v>871</v>
      </c>
      <c r="T266" s="7" t="s">
        <v>67</v>
      </c>
      <c r="U266" s="225">
        <v>1</v>
      </c>
      <c r="V266" s="14"/>
      <c r="W266" s="7"/>
      <c r="X266" s="7" t="s">
        <v>1482</v>
      </c>
      <c r="Y266" s="88"/>
      <c r="Z266" s="7" t="s">
        <v>2155</v>
      </c>
      <c r="AA266" s="47" t="s">
        <v>1799</v>
      </c>
      <c r="AB266" s="47" t="s">
        <v>1798</v>
      </c>
      <c r="AC266" s="47"/>
      <c r="AD266" s="47"/>
      <c r="AE266" s="47"/>
      <c r="AF266" s="8" t="s">
        <v>2217</v>
      </c>
      <c r="AG266" s="92" t="s">
        <v>2425</v>
      </c>
    </row>
    <row r="267" spans="1:89" ht="17.399999999999999">
      <c r="A267" s="30">
        <f t="shared" si="9"/>
        <v>266</v>
      </c>
      <c r="B267" s="22" t="s">
        <v>90</v>
      </c>
      <c r="C267" s="22" t="s">
        <v>386</v>
      </c>
      <c r="D267" s="12" t="s">
        <v>143</v>
      </c>
      <c r="E267" s="22" t="s">
        <v>53</v>
      </c>
      <c r="F267" s="22" t="s">
        <v>145</v>
      </c>
      <c r="G267" s="22" t="s">
        <v>441</v>
      </c>
      <c r="H267" s="22" t="s">
        <v>410</v>
      </c>
      <c r="I267" s="51" t="str">
        <f t="shared" si="8"/>
        <v>충남</v>
      </c>
      <c r="J267" s="51" t="s">
        <v>569</v>
      </c>
      <c r="K267" s="101" t="s">
        <v>416</v>
      </c>
      <c r="L267" s="26" t="s">
        <v>201</v>
      </c>
      <c r="M267" s="22" t="s">
        <v>101</v>
      </c>
      <c r="N267" s="27">
        <v>44131</v>
      </c>
      <c r="O267" s="53">
        <v>43766</v>
      </c>
      <c r="P267" s="53" t="s">
        <v>1233</v>
      </c>
      <c r="Q267" s="22" t="s">
        <v>69</v>
      </c>
      <c r="R267" s="22" t="s">
        <v>871</v>
      </c>
      <c r="S267" s="30" t="s">
        <v>871</v>
      </c>
      <c r="T267" s="22">
        <v>700</v>
      </c>
      <c r="U267" s="235">
        <v>3</v>
      </c>
      <c r="V267" s="22" t="s">
        <v>1349</v>
      </c>
      <c r="W267" s="22"/>
      <c r="X267" s="22" t="s">
        <v>1482</v>
      </c>
      <c r="Y267" s="22"/>
      <c r="Z267" s="22" t="s">
        <v>2155</v>
      </c>
      <c r="AA267" s="47" t="s">
        <v>1797</v>
      </c>
      <c r="AB267" s="47" t="s">
        <v>1796</v>
      </c>
      <c r="AC267" s="47"/>
      <c r="AD267" s="47"/>
      <c r="AE267" s="47"/>
      <c r="AF267" s="8" t="s">
        <v>2232</v>
      </c>
      <c r="AG267" s="220"/>
    </row>
    <row r="268" spans="1:89" s="49" customFormat="1" ht="17.399999999999999">
      <c r="A268" s="74">
        <f t="shared" si="9"/>
        <v>267</v>
      </c>
      <c r="B268" s="48" t="s">
        <v>287</v>
      </c>
      <c r="C268" s="48" t="s">
        <v>387</v>
      </c>
      <c r="D268" s="97" t="s">
        <v>111</v>
      </c>
      <c r="E268" s="48" t="s">
        <v>53</v>
      </c>
      <c r="F268" s="48" t="s">
        <v>145</v>
      </c>
      <c r="G268" s="48" t="s">
        <v>441</v>
      </c>
      <c r="H268" s="48" t="s">
        <v>411</v>
      </c>
      <c r="I268" s="86" t="str">
        <f t="shared" si="8"/>
        <v>충남</v>
      </c>
      <c r="J268" s="86" t="s">
        <v>569</v>
      </c>
      <c r="K268" s="324" t="s">
        <v>164</v>
      </c>
      <c r="L268" s="76" t="s">
        <v>117</v>
      </c>
      <c r="M268" s="48" t="s">
        <v>101</v>
      </c>
      <c r="N268" s="115">
        <v>44159</v>
      </c>
      <c r="O268" s="128">
        <v>43839</v>
      </c>
      <c r="P268" s="128" t="s">
        <v>1233</v>
      </c>
      <c r="Q268" s="48" t="s">
        <v>77</v>
      </c>
      <c r="R268" s="48" t="s">
        <v>871</v>
      </c>
      <c r="S268" s="74" t="s">
        <v>871</v>
      </c>
      <c r="T268" s="48">
        <v>700</v>
      </c>
      <c r="U268" s="246">
        <v>3</v>
      </c>
      <c r="V268" s="48" t="s">
        <v>1349</v>
      </c>
      <c r="W268" s="48"/>
      <c r="X268" s="48" t="s">
        <v>1482</v>
      </c>
      <c r="Y268" s="75"/>
      <c r="Z268" s="48" t="s">
        <v>2150</v>
      </c>
      <c r="AA268" s="392" t="s">
        <v>1795</v>
      </c>
      <c r="AB268" s="392" t="s">
        <v>1943</v>
      </c>
      <c r="AC268" s="392" t="s">
        <v>2500</v>
      </c>
      <c r="AD268" s="392"/>
      <c r="AE268" s="392"/>
      <c r="AF268" s="364" t="s">
        <v>2233</v>
      </c>
      <c r="AG268" s="161"/>
    </row>
    <row r="269" spans="1:89" ht="17.399999999999999">
      <c r="A269" s="30">
        <f t="shared" si="9"/>
        <v>268</v>
      </c>
      <c r="B269" s="22" t="s">
        <v>1303</v>
      </c>
      <c r="C269" s="22" t="s">
        <v>349</v>
      </c>
      <c r="D269" s="12" t="s">
        <v>1281</v>
      </c>
      <c r="E269" s="22" t="s">
        <v>113</v>
      </c>
      <c r="F269" s="22" t="s">
        <v>145</v>
      </c>
      <c r="G269" s="22" t="s">
        <v>441</v>
      </c>
      <c r="H269" s="22" t="s">
        <v>415</v>
      </c>
      <c r="I269" s="51" t="str">
        <f t="shared" si="8"/>
        <v>울산</v>
      </c>
      <c r="J269" s="51" t="s">
        <v>564</v>
      </c>
      <c r="K269" s="42" t="s">
        <v>238</v>
      </c>
      <c r="L269" s="52" t="s">
        <v>1302</v>
      </c>
      <c r="M269" s="22" t="s">
        <v>51</v>
      </c>
      <c r="N269" s="196">
        <v>44209</v>
      </c>
      <c r="O269" s="196">
        <v>44069</v>
      </c>
      <c r="P269" s="196" t="s">
        <v>1233</v>
      </c>
      <c r="Q269" s="22" t="s">
        <v>69</v>
      </c>
      <c r="R269" s="7" t="s">
        <v>871</v>
      </c>
      <c r="S269" s="199" t="s">
        <v>871</v>
      </c>
      <c r="T269" s="191">
        <v>700</v>
      </c>
      <c r="U269" s="241">
        <v>1</v>
      </c>
      <c r="V269" s="191"/>
      <c r="W269" s="7"/>
      <c r="X269" s="22" t="s">
        <v>1482</v>
      </c>
      <c r="Y269" s="88"/>
      <c r="Z269" s="7" t="s">
        <v>2155</v>
      </c>
      <c r="AA269" s="47" t="s">
        <v>1794</v>
      </c>
      <c r="AB269" s="47" t="s">
        <v>1793</v>
      </c>
      <c r="AC269" s="47" t="s">
        <v>1923</v>
      </c>
      <c r="AD269" s="47" t="s">
        <v>1920</v>
      </c>
      <c r="AE269" s="47"/>
      <c r="AF269" s="8" t="s">
        <v>2240</v>
      </c>
      <c r="AG269" s="22"/>
    </row>
    <row r="270" spans="1:89" ht="17.399999999999999">
      <c r="A270" s="30">
        <f t="shared" si="9"/>
        <v>269</v>
      </c>
      <c r="B270" s="7" t="s">
        <v>78</v>
      </c>
      <c r="C270" s="7" t="s">
        <v>353</v>
      </c>
      <c r="D270" s="12" t="s">
        <v>111</v>
      </c>
      <c r="E270" s="7" t="s">
        <v>53</v>
      </c>
      <c r="F270" s="7" t="s">
        <v>145</v>
      </c>
      <c r="G270" s="7" t="s">
        <v>441</v>
      </c>
      <c r="H270" s="7" t="s">
        <v>398</v>
      </c>
      <c r="I270" s="51" t="str">
        <f t="shared" si="8"/>
        <v>울산</v>
      </c>
      <c r="J270" s="51" t="s">
        <v>564</v>
      </c>
      <c r="K270" s="8" t="s">
        <v>98</v>
      </c>
      <c r="L270" s="18" t="s">
        <v>100</v>
      </c>
      <c r="M270" s="7" t="s">
        <v>51</v>
      </c>
      <c r="N270" s="24">
        <v>44266</v>
      </c>
      <c r="O270" s="34">
        <v>43748</v>
      </c>
      <c r="P270" s="34" t="s">
        <v>1233</v>
      </c>
      <c r="Q270" s="60" t="s">
        <v>114</v>
      </c>
      <c r="R270" s="7" t="s">
        <v>871</v>
      </c>
      <c r="S270" s="30" t="s">
        <v>871</v>
      </c>
      <c r="T270" s="7" t="s">
        <v>54</v>
      </c>
      <c r="U270" s="218">
        <v>2</v>
      </c>
      <c r="V270" s="28"/>
      <c r="W270" s="221"/>
      <c r="X270" s="22" t="s">
        <v>1482</v>
      </c>
      <c r="Y270" s="222"/>
      <c r="Z270" s="221" t="s">
        <v>2150</v>
      </c>
      <c r="AA270" s="47" t="s">
        <v>1792</v>
      </c>
      <c r="AB270" s="47" t="s">
        <v>1951</v>
      </c>
      <c r="AC270" s="47"/>
      <c r="AD270" s="47"/>
      <c r="AE270" s="47"/>
      <c r="AF270" s="8" t="s">
        <v>2441</v>
      </c>
      <c r="AG270" s="22"/>
    </row>
    <row r="271" spans="1:89" ht="17.399999999999999">
      <c r="A271" s="30">
        <f t="shared" si="9"/>
        <v>270</v>
      </c>
      <c r="B271" s="22" t="s">
        <v>234</v>
      </c>
      <c r="C271" s="22" t="s">
        <v>581</v>
      </c>
      <c r="D271" s="12" t="s">
        <v>111</v>
      </c>
      <c r="E271" s="22" t="s">
        <v>53</v>
      </c>
      <c r="F271" s="22" t="s">
        <v>145</v>
      </c>
      <c r="G271" s="22" t="s">
        <v>441</v>
      </c>
      <c r="H271" s="16" t="s">
        <v>408</v>
      </c>
      <c r="I271" s="51" t="str">
        <f t="shared" si="8"/>
        <v>경기</v>
      </c>
      <c r="J271" s="51" t="s">
        <v>565</v>
      </c>
      <c r="K271" s="58" t="s">
        <v>249</v>
      </c>
      <c r="L271" s="52" t="s">
        <v>248</v>
      </c>
      <c r="M271" s="22" t="s">
        <v>116</v>
      </c>
      <c r="N271" s="27">
        <v>44279</v>
      </c>
      <c r="O271" s="53">
        <v>44125</v>
      </c>
      <c r="P271" s="53" t="s">
        <v>1233</v>
      </c>
      <c r="Q271" s="22" t="s">
        <v>69</v>
      </c>
      <c r="R271" s="22" t="s">
        <v>871</v>
      </c>
      <c r="S271" s="98" t="s">
        <v>871</v>
      </c>
      <c r="T271" s="22">
        <v>700</v>
      </c>
      <c r="U271" s="22">
        <v>1</v>
      </c>
      <c r="V271" s="22"/>
      <c r="W271" s="221"/>
      <c r="X271" s="22" t="s">
        <v>1482</v>
      </c>
      <c r="Y271" s="222"/>
      <c r="Z271" s="221" t="s">
        <v>2155</v>
      </c>
      <c r="AA271" s="47" t="s">
        <v>1791</v>
      </c>
      <c r="AB271" s="47" t="s">
        <v>1790</v>
      </c>
      <c r="AC271" s="47"/>
      <c r="AD271" s="47"/>
      <c r="AE271" s="47"/>
      <c r="AF271" s="8" t="s">
        <v>2242</v>
      </c>
      <c r="AG271" s="55"/>
    </row>
    <row r="272" spans="1:89" ht="34.799999999999997">
      <c r="A272" s="30">
        <f t="shared" si="9"/>
        <v>271</v>
      </c>
      <c r="B272" s="22" t="s">
        <v>304</v>
      </c>
      <c r="C272" s="22" t="s">
        <v>580</v>
      </c>
      <c r="D272" s="12" t="s">
        <v>111</v>
      </c>
      <c r="E272" s="22" t="s">
        <v>53</v>
      </c>
      <c r="F272" s="22" t="s">
        <v>83</v>
      </c>
      <c r="G272" s="22" t="s">
        <v>442</v>
      </c>
      <c r="H272" s="73" t="s">
        <v>1398</v>
      </c>
      <c r="I272" s="51" t="str">
        <f t="shared" si="8"/>
        <v>경남</v>
      </c>
      <c r="J272" s="51" t="s">
        <v>564</v>
      </c>
      <c r="K272" s="58" t="s">
        <v>252</v>
      </c>
      <c r="L272" s="52" t="s">
        <v>250</v>
      </c>
      <c r="M272" s="22" t="s">
        <v>251</v>
      </c>
      <c r="N272" s="27">
        <v>44281</v>
      </c>
      <c r="O272" s="53">
        <v>44124</v>
      </c>
      <c r="P272" s="53" t="s">
        <v>1233</v>
      </c>
      <c r="Q272" s="22" t="s">
        <v>69</v>
      </c>
      <c r="R272" s="22" t="s">
        <v>871</v>
      </c>
      <c r="S272" s="98" t="s">
        <v>871</v>
      </c>
      <c r="T272" s="22">
        <v>700</v>
      </c>
      <c r="U272" s="98">
        <v>1</v>
      </c>
      <c r="V272" s="22"/>
      <c r="W272" s="7"/>
      <c r="X272" s="22" t="s">
        <v>1482</v>
      </c>
      <c r="Y272" s="88"/>
      <c r="Z272" s="7" t="s">
        <v>2150</v>
      </c>
      <c r="AA272" s="47" t="s">
        <v>1789</v>
      </c>
      <c r="AB272" s="47" t="s">
        <v>1788</v>
      </c>
      <c r="AC272" s="47" t="s">
        <v>1923</v>
      </c>
      <c r="AD272" s="47" t="s">
        <v>1920</v>
      </c>
      <c r="AE272" s="357" t="s">
        <v>2415</v>
      </c>
      <c r="AF272" s="32" t="s">
        <v>2357</v>
      </c>
      <c r="AG272" s="220"/>
    </row>
    <row r="273" spans="1:89" ht="17.399999999999999">
      <c r="A273" s="30">
        <f t="shared" si="9"/>
        <v>272</v>
      </c>
      <c r="B273" s="22" t="s">
        <v>244</v>
      </c>
      <c r="C273" s="22" t="s">
        <v>579</v>
      </c>
      <c r="D273" s="14" t="s">
        <v>1281</v>
      </c>
      <c r="E273" s="22" t="s">
        <v>113</v>
      </c>
      <c r="F273" s="22" t="s">
        <v>145</v>
      </c>
      <c r="G273" s="22" t="s">
        <v>441</v>
      </c>
      <c r="H273" s="39" t="s">
        <v>1304</v>
      </c>
      <c r="I273" s="51" t="str">
        <f t="shared" si="8"/>
        <v>경기</v>
      </c>
      <c r="J273" s="51" t="s">
        <v>565</v>
      </c>
      <c r="K273" s="58" t="s">
        <v>254</v>
      </c>
      <c r="L273" s="7" t="s">
        <v>253</v>
      </c>
      <c r="M273" s="22" t="s">
        <v>237</v>
      </c>
      <c r="N273" s="27">
        <v>44285</v>
      </c>
      <c r="O273" s="53">
        <v>44120</v>
      </c>
      <c r="P273" s="53" t="s">
        <v>1233</v>
      </c>
      <c r="Q273" s="22" t="s">
        <v>69</v>
      </c>
      <c r="R273" s="22" t="s">
        <v>871</v>
      </c>
      <c r="S273" s="98" t="s">
        <v>871</v>
      </c>
      <c r="T273" s="22">
        <v>700</v>
      </c>
      <c r="U273" s="98">
        <v>1</v>
      </c>
      <c r="V273" s="22"/>
      <c r="W273" s="22"/>
      <c r="X273" s="22" t="s">
        <v>1482</v>
      </c>
      <c r="Y273" s="22"/>
      <c r="Z273" s="22" t="s">
        <v>2150</v>
      </c>
      <c r="AA273" s="47" t="s">
        <v>1953</v>
      </c>
      <c r="AB273" s="47" t="s">
        <v>1954</v>
      </c>
      <c r="AC273" s="47"/>
      <c r="AD273" s="47"/>
      <c r="AE273" s="47"/>
      <c r="AF273" s="8" t="s">
        <v>2244</v>
      </c>
      <c r="AG273" s="251"/>
    </row>
    <row r="274" spans="1:89" ht="34.799999999999997">
      <c r="A274" s="30">
        <f t="shared" si="9"/>
        <v>273</v>
      </c>
      <c r="B274" s="22" t="s">
        <v>235</v>
      </c>
      <c r="C274" s="22" t="s">
        <v>397</v>
      </c>
      <c r="D274" s="12" t="s">
        <v>111</v>
      </c>
      <c r="E274" s="22" t="s">
        <v>53</v>
      </c>
      <c r="F274" s="22" t="s">
        <v>222</v>
      </c>
      <c r="G274" s="22" t="s">
        <v>441</v>
      </c>
      <c r="H274" s="16" t="s">
        <v>1399</v>
      </c>
      <c r="I274" s="51" t="str">
        <f t="shared" si="8"/>
        <v>충북</v>
      </c>
      <c r="J274" s="51" t="s">
        <v>569</v>
      </c>
      <c r="K274" s="55" t="s">
        <v>260</v>
      </c>
      <c r="L274" s="52" t="s">
        <v>259</v>
      </c>
      <c r="M274" s="22" t="s">
        <v>80</v>
      </c>
      <c r="N274" s="27">
        <v>44295</v>
      </c>
      <c r="O274" s="53">
        <v>44133</v>
      </c>
      <c r="P274" s="53" t="s">
        <v>1233</v>
      </c>
      <c r="Q274" s="22" t="s">
        <v>69</v>
      </c>
      <c r="R274" s="22" t="s">
        <v>871</v>
      </c>
      <c r="S274" s="22" t="s">
        <v>871</v>
      </c>
      <c r="T274" s="22">
        <v>700</v>
      </c>
      <c r="U274" s="22">
        <v>1</v>
      </c>
      <c r="V274" s="22"/>
      <c r="W274" s="22"/>
      <c r="X274" s="22" t="s">
        <v>1482</v>
      </c>
      <c r="Y274" s="22"/>
      <c r="Z274" s="22" t="s">
        <v>2155</v>
      </c>
      <c r="AA274" s="47" t="s">
        <v>1955</v>
      </c>
      <c r="AB274" s="47" t="s">
        <v>1956</v>
      </c>
      <c r="AC274" s="47"/>
      <c r="AD274" s="47"/>
      <c r="AE274" s="357" t="s">
        <v>2505</v>
      </c>
      <c r="AF274" s="8" t="s">
        <v>2245</v>
      </c>
      <c r="AG274" s="88"/>
    </row>
    <row r="275" spans="1:89" ht="46.8">
      <c r="A275" s="30">
        <f t="shared" si="9"/>
        <v>274</v>
      </c>
      <c r="B275" s="13" t="s">
        <v>79</v>
      </c>
      <c r="C275" s="13" t="s">
        <v>591</v>
      </c>
      <c r="D275" s="30" t="s">
        <v>143</v>
      </c>
      <c r="E275" s="15" t="s">
        <v>4</v>
      </c>
      <c r="F275" s="7" t="s">
        <v>222</v>
      </c>
      <c r="G275" s="7" t="s">
        <v>442</v>
      </c>
      <c r="H275" s="16" t="s">
        <v>1393</v>
      </c>
      <c r="I275" s="51" t="str">
        <f t="shared" si="8"/>
        <v>충북</v>
      </c>
      <c r="J275" s="51" t="s">
        <v>569</v>
      </c>
      <c r="K275" s="21" t="s">
        <v>243</v>
      </c>
      <c r="L275" s="17" t="s">
        <v>214</v>
      </c>
      <c r="M275" s="15" t="s">
        <v>80</v>
      </c>
      <c r="N275" s="193">
        <v>43979</v>
      </c>
      <c r="O275" s="201">
        <v>43735</v>
      </c>
      <c r="P275" s="201" t="s">
        <v>1233</v>
      </c>
      <c r="Q275" s="14" t="s">
        <v>77</v>
      </c>
      <c r="R275" s="14" t="s">
        <v>72</v>
      </c>
      <c r="S275" s="198" t="s">
        <v>417</v>
      </c>
      <c r="T275" s="189" t="s">
        <v>67</v>
      </c>
      <c r="U275" s="241">
        <v>1</v>
      </c>
      <c r="V275" s="199"/>
      <c r="W275" s="7"/>
      <c r="X275" s="7" t="s">
        <v>1482</v>
      </c>
      <c r="Y275" s="88"/>
      <c r="Z275" s="7" t="s">
        <v>2150</v>
      </c>
      <c r="AA275" s="47" t="s">
        <v>1787</v>
      </c>
      <c r="AB275" s="47" t="s">
        <v>1786</v>
      </c>
      <c r="AC275" s="47" t="s">
        <v>1939</v>
      </c>
      <c r="AD275" s="47" t="s">
        <v>1920</v>
      </c>
      <c r="AE275" s="47"/>
      <c r="AF275" s="32" t="s">
        <v>2224</v>
      </c>
      <c r="AG275" s="88"/>
    </row>
    <row r="276" spans="1:89" s="49" customFormat="1" ht="17.399999999999999">
      <c r="A276" s="74">
        <f t="shared" si="9"/>
        <v>275</v>
      </c>
      <c r="B276" s="48" t="s">
        <v>283</v>
      </c>
      <c r="C276" s="48" t="s">
        <v>590</v>
      </c>
      <c r="D276" s="97" t="s">
        <v>143</v>
      </c>
      <c r="E276" s="48" t="s">
        <v>53</v>
      </c>
      <c r="F276" s="48" t="s">
        <v>222</v>
      </c>
      <c r="G276" s="48" t="s">
        <v>441</v>
      </c>
      <c r="H276" s="118" t="s">
        <v>1394</v>
      </c>
      <c r="I276" s="86" t="str">
        <f t="shared" si="8"/>
        <v>충북</v>
      </c>
      <c r="J276" s="86" t="s">
        <v>569</v>
      </c>
      <c r="K276" s="127" t="s">
        <v>165</v>
      </c>
      <c r="L276" s="76" t="s">
        <v>213</v>
      </c>
      <c r="M276" s="48" t="s">
        <v>80</v>
      </c>
      <c r="N276" s="120">
        <v>43979</v>
      </c>
      <c r="O276" s="128">
        <v>43789</v>
      </c>
      <c r="P276" s="128" t="s">
        <v>1233</v>
      </c>
      <c r="Q276" s="121" t="s">
        <v>69</v>
      </c>
      <c r="R276" s="121" t="s">
        <v>72</v>
      </c>
      <c r="S276" s="118" t="s">
        <v>417</v>
      </c>
      <c r="T276" s="48">
        <v>700</v>
      </c>
      <c r="U276" s="232">
        <v>1</v>
      </c>
      <c r="V276" s="121"/>
      <c r="W276" s="123"/>
      <c r="X276" s="123" t="s">
        <v>1482</v>
      </c>
      <c r="Y276" s="125"/>
      <c r="Z276" s="123" t="s">
        <v>2150</v>
      </c>
      <c r="AA276" s="392" t="s">
        <v>1785</v>
      </c>
      <c r="AB276" s="392" t="s">
        <v>1784</v>
      </c>
      <c r="AC276" s="392" t="s">
        <v>1940</v>
      </c>
      <c r="AD276" s="392" t="s">
        <v>1920</v>
      </c>
      <c r="AE276" s="392"/>
      <c r="AF276" s="233" t="s">
        <v>2225</v>
      </c>
      <c r="AG276" s="125" t="s">
        <v>1485</v>
      </c>
    </row>
    <row r="277" spans="1:89" s="49" customFormat="1" ht="17.399999999999999">
      <c r="A277" s="74">
        <f t="shared" si="9"/>
        <v>276</v>
      </c>
      <c r="B277" s="48" t="s">
        <v>207</v>
      </c>
      <c r="C277" s="48" t="s">
        <v>343</v>
      </c>
      <c r="D277" s="97" t="s">
        <v>143</v>
      </c>
      <c r="E277" s="48" t="s">
        <v>53</v>
      </c>
      <c r="F277" s="48" t="s">
        <v>83</v>
      </c>
      <c r="G277" s="48" t="s">
        <v>442</v>
      </c>
      <c r="H277" s="82" t="s">
        <v>438</v>
      </c>
      <c r="I277" s="86" t="str">
        <f t="shared" si="8"/>
        <v>강원</v>
      </c>
      <c r="J277" s="86" t="s">
        <v>566</v>
      </c>
      <c r="K277" s="75" t="s">
        <v>163</v>
      </c>
      <c r="L277" s="76" t="s">
        <v>206</v>
      </c>
      <c r="M277" s="48" t="s">
        <v>131</v>
      </c>
      <c r="N277" s="115">
        <v>44032</v>
      </c>
      <c r="O277" s="128">
        <v>43889</v>
      </c>
      <c r="P277" s="128" t="s">
        <v>1233</v>
      </c>
      <c r="Q277" s="97" t="s">
        <v>77</v>
      </c>
      <c r="R277" s="97" t="s">
        <v>124</v>
      </c>
      <c r="S277" s="118" t="s">
        <v>417</v>
      </c>
      <c r="T277" s="48">
        <v>700</v>
      </c>
      <c r="U277" s="246">
        <v>1</v>
      </c>
      <c r="V277" s="405"/>
      <c r="W277" s="123"/>
      <c r="X277" s="123" t="s">
        <v>1482</v>
      </c>
      <c r="Y277" s="125"/>
      <c r="Z277" s="123" t="s">
        <v>2155</v>
      </c>
      <c r="AA277" s="392" t="s">
        <v>1941</v>
      </c>
      <c r="AB277" s="392" t="s">
        <v>1782</v>
      </c>
      <c r="AC277" s="392"/>
      <c r="AD277" s="392"/>
      <c r="AE277" s="392"/>
      <c r="AF277" s="233" t="s">
        <v>2228</v>
      </c>
      <c r="AG277" s="233"/>
    </row>
    <row r="278" spans="1:89" s="49" customFormat="1" ht="31.2">
      <c r="A278" s="74">
        <f t="shared" si="9"/>
        <v>277</v>
      </c>
      <c r="B278" s="102" t="s">
        <v>166</v>
      </c>
      <c r="C278" s="48" t="s">
        <v>586</v>
      </c>
      <c r="D278" s="405" t="s">
        <v>111</v>
      </c>
      <c r="E278" s="102" t="s">
        <v>53</v>
      </c>
      <c r="F278" s="48" t="s">
        <v>145</v>
      </c>
      <c r="G278" s="48" t="s">
        <v>442</v>
      </c>
      <c r="H278" s="103" t="s">
        <v>412</v>
      </c>
      <c r="I278" s="86" t="str">
        <f t="shared" si="8"/>
        <v>경기</v>
      </c>
      <c r="J278" s="86" t="s">
        <v>565</v>
      </c>
      <c r="K278" s="83" t="s">
        <v>1873</v>
      </c>
      <c r="L278" s="80" t="s">
        <v>269</v>
      </c>
      <c r="M278" s="102" t="s">
        <v>116</v>
      </c>
      <c r="N278" s="406">
        <v>44176</v>
      </c>
      <c r="O278" s="128">
        <v>43986</v>
      </c>
      <c r="P278" s="128" t="s">
        <v>1233</v>
      </c>
      <c r="Q278" s="102" t="s">
        <v>69</v>
      </c>
      <c r="R278" s="102" t="s">
        <v>124</v>
      </c>
      <c r="S278" s="118" t="s">
        <v>417</v>
      </c>
      <c r="T278" s="102">
        <v>700</v>
      </c>
      <c r="U278" s="404">
        <v>1</v>
      </c>
      <c r="V278" s="407"/>
      <c r="W278" s="48"/>
      <c r="X278" s="48" t="s">
        <v>1482</v>
      </c>
      <c r="Y278" s="48"/>
      <c r="Z278" s="48" t="s">
        <v>2150</v>
      </c>
      <c r="AA278" s="392" t="s">
        <v>1946</v>
      </c>
      <c r="AB278" s="392" t="s">
        <v>1781</v>
      </c>
      <c r="AC278" s="392"/>
      <c r="AD278" s="392"/>
      <c r="AE278" s="392"/>
      <c r="AF278" s="233" t="s">
        <v>2434</v>
      </c>
      <c r="AG278" s="125" t="s">
        <v>1479</v>
      </c>
    </row>
    <row r="279" spans="1:89" s="9" customFormat="1" ht="34.799999999999997">
      <c r="A279" s="30">
        <f t="shared" si="9"/>
        <v>278</v>
      </c>
      <c r="B279" s="22" t="s">
        <v>154</v>
      </c>
      <c r="C279" s="22" t="s">
        <v>585</v>
      </c>
      <c r="D279" s="30" t="s">
        <v>111</v>
      </c>
      <c r="E279" s="22" t="s">
        <v>53</v>
      </c>
      <c r="F279" s="22" t="s">
        <v>83</v>
      </c>
      <c r="G279" s="22" t="s">
        <v>442</v>
      </c>
      <c r="H279" s="22" t="s">
        <v>746</v>
      </c>
      <c r="I279" s="51" t="str">
        <f t="shared" si="8"/>
        <v>경기</v>
      </c>
      <c r="J279" s="51" t="s">
        <v>565</v>
      </c>
      <c r="K279" s="20" t="s">
        <v>562</v>
      </c>
      <c r="L279" s="52" t="s">
        <v>210</v>
      </c>
      <c r="M279" s="22" t="s">
        <v>116</v>
      </c>
      <c r="N279" s="27">
        <v>44194</v>
      </c>
      <c r="O279" s="53">
        <v>43930</v>
      </c>
      <c r="P279" s="53" t="s">
        <v>1233</v>
      </c>
      <c r="Q279" s="22" t="s">
        <v>69</v>
      </c>
      <c r="R279" s="368" t="s">
        <v>124</v>
      </c>
      <c r="S279" s="370" t="s">
        <v>417</v>
      </c>
      <c r="T279" s="22">
        <v>700</v>
      </c>
      <c r="U279" s="372">
        <v>1</v>
      </c>
      <c r="V279" s="376"/>
      <c r="W279" s="7"/>
      <c r="X279" s="22" t="s">
        <v>1482</v>
      </c>
      <c r="Y279" s="88"/>
      <c r="Z279" s="7" t="s">
        <v>2155</v>
      </c>
      <c r="AA279" s="47" t="s">
        <v>1780</v>
      </c>
      <c r="AB279" s="47" t="s">
        <v>1779</v>
      </c>
      <c r="AC279" s="47" t="s">
        <v>1940</v>
      </c>
      <c r="AD279" s="47" t="s">
        <v>1920</v>
      </c>
      <c r="AE279" s="357" t="s">
        <v>2286</v>
      </c>
      <c r="AF279" s="32" t="s">
        <v>2438</v>
      </c>
      <c r="AG279" s="92" t="s">
        <v>2439</v>
      </c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</row>
    <row r="280" spans="1:89" s="9" customFormat="1" ht="31.2">
      <c r="A280" s="144">
        <f t="shared" si="9"/>
        <v>279</v>
      </c>
      <c r="B280" s="145" t="s">
        <v>2158</v>
      </c>
      <c r="C280" s="130" t="s">
        <v>874</v>
      </c>
      <c r="D280" s="106" t="s">
        <v>111</v>
      </c>
      <c r="E280" s="130" t="s">
        <v>4</v>
      </c>
      <c r="F280" s="131" t="s">
        <v>83</v>
      </c>
      <c r="G280" s="131" t="s">
        <v>443</v>
      </c>
      <c r="H280" s="148" t="s">
        <v>413</v>
      </c>
      <c r="I280" s="109" t="str">
        <f t="shared" si="8"/>
        <v>대전</v>
      </c>
      <c r="J280" s="109" t="s">
        <v>569</v>
      </c>
      <c r="K280" s="179" t="s">
        <v>71</v>
      </c>
      <c r="L280" s="180" t="s">
        <v>197</v>
      </c>
      <c r="M280" s="181" t="s">
        <v>22</v>
      </c>
      <c r="N280" s="132">
        <v>44195</v>
      </c>
      <c r="O280" s="132" t="s">
        <v>161</v>
      </c>
      <c r="P280" s="133" t="s">
        <v>1233</v>
      </c>
      <c r="Q280" s="174" t="s">
        <v>77</v>
      </c>
      <c r="R280" s="377" t="s">
        <v>124</v>
      </c>
      <c r="S280" s="381" t="s">
        <v>417</v>
      </c>
      <c r="T280" s="131" t="s">
        <v>67</v>
      </c>
      <c r="U280" s="384">
        <v>1</v>
      </c>
      <c r="V280" s="387" t="s">
        <v>1435</v>
      </c>
      <c r="W280" s="171"/>
      <c r="X280" s="171" t="s">
        <v>1482</v>
      </c>
      <c r="Y280" s="250"/>
      <c r="Z280" s="171" t="s">
        <v>2151</v>
      </c>
      <c r="AA280" s="254" t="s">
        <v>1778</v>
      </c>
      <c r="AB280" s="261" t="s">
        <v>1777</v>
      </c>
      <c r="AC280" s="261"/>
      <c r="AD280" s="261"/>
      <c r="AE280" s="261"/>
      <c r="AF280" s="179" t="s">
        <v>2440</v>
      </c>
      <c r="AG280" s="175" t="s">
        <v>2325</v>
      </c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</row>
    <row r="281" spans="1:89" s="9" customFormat="1" ht="17.399999999999999">
      <c r="A281" s="30">
        <f t="shared" si="9"/>
        <v>280</v>
      </c>
      <c r="B281" s="22" t="s">
        <v>203</v>
      </c>
      <c r="C281" s="22" t="s">
        <v>583</v>
      </c>
      <c r="D281" s="12" t="s">
        <v>111</v>
      </c>
      <c r="E281" s="22" t="s">
        <v>53</v>
      </c>
      <c r="F281" s="22" t="s">
        <v>83</v>
      </c>
      <c r="G281" s="22" t="s">
        <v>442</v>
      </c>
      <c r="H281" s="33" t="s">
        <v>1397</v>
      </c>
      <c r="I281" s="51" t="str">
        <f t="shared" si="8"/>
        <v>충북</v>
      </c>
      <c r="J281" s="51" t="s">
        <v>569</v>
      </c>
      <c r="K281" s="21" t="s">
        <v>87</v>
      </c>
      <c r="L281" s="26" t="s">
        <v>202</v>
      </c>
      <c r="M281" s="22" t="s">
        <v>56</v>
      </c>
      <c r="N281" s="24">
        <v>44218</v>
      </c>
      <c r="O281" s="53">
        <v>43789</v>
      </c>
      <c r="P281" s="53" t="s">
        <v>1233</v>
      </c>
      <c r="Q281" s="7" t="s">
        <v>77</v>
      </c>
      <c r="R281" s="378" t="s">
        <v>72</v>
      </c>
      <c r="S281" s="370" t="s">
        <v>417</v>
      </c>
      <c r="T281" s="22">
        <v>700</v>
      </c>
      <c r="U281" s="385">
        <v>1</v>
      </c>
      <c r="V281" s="376"/>
      <c r="W281" s="221"/>
      <c r="X281" s="22" t="s">
        <v>1482</v>
      </c>
      <c r="Y281" s="222"/>
      <c r="Z281" s="221" t="s">
        <v>2155</v>
      </c>
      <c r="AA281" s="47" t="s">
        <v>1776</v>
      </c>
      <c r="AB281" s="47" t="s">
        <v>1775</v>
      </c>
      <c r="AC281" s="47"/>
      <c r="AD281" s="47"/>
      <c r="AE281" s="47"/>
      <c r="AF281" s="8" t="s">
        <v>2241</v>
      </c>
      <c r="AG281" s="88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</row>
    <row r="282" spans="1:89" s="339" customFormat="1" ht="17.25" customHeight="1">
      <c r="A282" s="30">
        <f t="shared" si="9"/>
        <v>281</v>
      </c>
      <c r="B282" s="22" t="s">
        <v>240</v>
      </c>
      <c r="C282" s="78" t="s">
        <v>348</v>
      </c>
      <c r="D282" s="30" t="s">
        <v>111</v>
      </c>
      <c r="E282" s="22" t="s">
        <v>53</v>
      </c>
      <c r="F282" s="22" t="s">
        <v>145</v>
      </c>
      <c r="G282" s="22" t="s">
        <v>442</v>
      </c>
      <c r="H282" s="22" t="s">
        <v>747</v>
      </c>
      <c r="I282" s="51" t="str">
        <f t="shared" si="8"/>
        <v>대전</v>
      </c>
      <c r="J282" s="51" t="s">
        <v>569</v>
      </c>
      <c r="K282" s="42" t="s">
        <v>241</v>
      </c>
      <c r="L282" s="52" t="s">
        <v>289</v>
      </c>
      <c r="M282" s="22" t="s">
        <v>125</v>
      </c>
      <c r="N282" s="53">
        <v>44195</v>
      </c>
      <c r="O282" s="53">
        <v>44084</v>
      </c>
      <c r="P282" s="53" t="s">
        <v>1233</v>
      </c>
      <c r="Q282" s="22" t="s">
        <v>69</v>
      </c>
      <c r="R282" s="378" t="s">
        <v>106</v>
      </c>
      <c r="S282" s="382" t="s">
        <v>1242</v>
      </c>
      <c r="T282" s="22">
        <v>700</v>
      </c>
      <c r="U282" s="385">
        <v>1</v>
      </c>
      <c r="V282" s="388"/>
      <c r="W282" s="22"/>
      <c r="X282" s="22" t="s">
        <v>1482</v>
      </c>
      <c r="Y282" s="22"/>
      <c r="Z282" s="22" t="s">
        <v>2150</v>
      </c>
      <c r="AA282" s="47" t="s">
        <v>1948</v>
      </c>
      <c r="AB282" s="47" t="s">
        <v>1774</v>
      </c>
      <c r="AC282" s="47"/>
      <c r="AD282" s="47"/>
      <c r="AE282" s="47"/>
      <c r="AF282" s="8" t="s">
        <v>2237</v>
      </c>
      <c r="AG282" s="88"/>
      <c r="AH282" s="87"/>
      <c r="AI282" s="87"/>
      <c r="AJ282" s="87"/>
      <c r="AK282" s="87"/>
      <c r="AL282" s="87"/>
      <c r="AM282" s="87"/>
      <c r="AN282" s="87"/>
      <c r="AO282" s="87"/>
      <c r="AP282" s="87"/>
      <c r="AQ282" s="87"/>
      <c r="AR282" s="87"/>
      <c r="AS282" s="87"/>
      <c r="AT282" s="87"/>
      <c r="AU282" s="87"/>
      <c r="AV282" s="87"/>
      <c r="AW282" s="87"/>
      <c r="AX282" s="87"/>
      <c r="AY282" s="87"/>
      <c r="AZ282" s="87"/>
      <c r="BA282" s="87"/>
      <c r="BB282" s="87"/>
      <c r="BC282" s="87"/>
      <c r="BD282" s="87"/>
      <c r="BE282" s="87"/>
      <c r="BF282" s="87"/>
      <c r="BG282" s="87"/>
      <c r="BH282" s="87"/>
      <c r="BI282" s="87"/>
      <c r="BJ282" s="87"/>
      <c r="BK282" s="87"/>
      <c r="BL282" s="87"/>
      <c r="BM282" s="87"/>
      <c r="BN282" s="87"/>
      <c r="BO282" s="87"/>
      <c r="BP282" s="87"/>
      <c r="BQ282" s="87"/>
      <c r="BR282" s="87"/>
      <c r="BS282" s="87"/>
      <c r="BT282" s="87"/>
      <c r="BU282" s="87"/>
      <c r="BV282" s="87"/>
      <c r="BW282" s="87"/>
      <c r="BX282" s="87"/>
      <c r="BY282" s="87"/>
      <c r="BZ282" s="87"/>
      <c r="CA282" s="87"/>
      <c r="CB282" s="87"/>
      <c r="CC282" s="87"/>
      <c r="CD282" s="87"/>
      <c r="CE282" s="87"/>
      <c r="CF282" s="87"/>
      <c r="CG282" s="87"/>
      <c r="CH282" s="87"/>
      <c r="CI282" s="87"/>
      <c r="CJ282" s="87"/>
      <c r="CK282" s="87"/>
    </row>
    <row r="283" spans="1:89" s="409" customFormat="1" ht="78">
      <c r="A283" s="74">
        <f t="shared" si="9"/>
        <v>282</v>
      </c>
      <c r="B283" s="48" t="s">
        <v>104</v>
      </c>
      <c r="C283" s="48" t="s">
        <v>582</v>
      </c>
      <c r="D283" s="97" t="s">
        <v>111</v>
      </c>
      <c r="E283" s="48" t="s">
        <v>53</v>
      </c>
      <c r="F283" s="48" t="s">
        <v>136</v>
      </c>
      <c r="G283" s="48" t="s">
        <v>441</v>
      </c>
      <c r="H283" s="123" t="s">
        <v>748</v>
      </c>
      <c r="I283" s="86" t="str">
        <f t="shared" si="8"/>
        <v>경기</v>
      </c>
      <c r="J283" s="86" t="s">
        <v>565</v>
      </c>
      <c r="K283" s="79" t="s">
        <v>103</v>
      </c>
      <c r="L283" s="76" t="s">
        <v>123</v>
      </c>
      <c r="M283" s="48" t="s">
        <v>116</v>
      </c>
      <c r="N283" s="115">
        <v>44271</v>
      </c>
      <c r="O283" s="128">
        <v>43833</v>
      </c>
      <c r="P283" s="128" t="s">
        <v>1233</v>
      </c>
      <c r="Q283" s="48" t="s">
        <v>69</v>
      </c>
      <c r="R283" s="380" t="s">
        <v>106</v>
      </c>
      <c r="S283" s="369" t="s">
        <v>1237</v>
      </c>
      <c r="T283" s="48">
        <v>700</v>
      </c>
      <c r="U283" s="371">
        <v>1</v>
      </c>
      <c r="V283" s="408"/>
      <c r="W283" s="248" t="s">
        <v>1491</v>
      </c>
      <c r="X283" s="48" t="s">
        <v>1482</v>
      </c>
      <c r="Y283" s="249"/>
      <c r="Z283" s="248" t="s">
        <v>2155</v>
      </c>
      <c r="AA283" s="392" t="s">
        <v>1773</v>
      </c>
      <c r="AB283" s="392" t="s">
        <v>1772</v>
      </c>
      <c r="AC283" s="392" t="s">
        <v>1952</v>
      </c>
      <c r="AD283" s="392" t="s">
        <v>1920</v>
      </c>
      <c r="AE283" s="402" t="s">
        <v>2479</v>
      </c>
      <c r="AF283" s="156" t="s">
        <v>2442</v>
      </c>
      <c r="AG283" s="119" t="s">
        <v>2443</v>
      </c>
      <c r="AH283" s="49"/>
      <c r="AI283" s="49"/>
      <c r="AJ283" s="49"/>
      <c r="AK283" s="49"/>
      <c r="AL283" s="49"/>
      <c r="AM283" s="49"/>
      <c r="AN283" s="49"/>
      <c r="AO283" s="49"/>
      <c r="AP283" s="49"/>
      <c r="AQ283" s="49"/>
      <c r="AR283" s="49"/>
      <c r="AS283" s="49"/>
      <c r="AT283" s="49"/>
      <c r="AU283" s="49"/>
      <c r="AV283" s="49"/>
      <c r="AW283" s="49"/>
      <c r="AX283" s="49"/>
      <c r="AY283" s="49"/>
      <c r="AZ283" s="49"/>
      <c r="BA283" s="49"/>
      <c r="BB283" s="49"/>
      <c r="BC283" s="49"/>
      <c r="BD283" s="49"/>
      <c r="BE283" s="49"/>
      <c r="BF283" s="49"/>
      <c r="BG283" s="49"/>
      <c r="BH283" s="49"/>
      <c r="BI283" s="49"/>
      <c r="BJ283" s="49"/>
      <c r="BK283" s="49"/>
      <c r="BL283" s="49"/>
      <c r="BM283" s="49"/>
      <c r="BN283" s="49"/>
      <c r="BO283" s="49"/>
      <c r="BP283" s="49"/>
      <c r="BQ283" s="49"/>
      <c r="BR283" s="49"/>
      <c r="BS283" s="49"/>
      <c r="BT283" s="49"/>
      <c r="BU283" s="49"/>
      <c r="BV283" s="49"/>
      <c r="BW283" s="49"/>
      <c r="BX283" s="49"/>
      <c r="BY283" s="49"/>
      <c r="BZ283" s="49"/>
      <c r="CA283" s="49"/>
      <c r="CB283" s="49"/>
      <c r="CC283" s="49"/>
      <c r="CD283" s="49"/>
      <c r="CE283" s="49"/>
      <c r="CF283" s="49"/>
      <c r="CG283" s="49"/>
      <c r="CH283" s="49"/>
      <c r="CI283" s="49"/>
      <c r="CJ283" s="49"/>
      <c r="CK283" s="49"/>
    </row>
    <row r="284" spans="1:89" s="9" customFormat="1" ht="17.399999999999999">
      <c r="A284" s="30">
        <f t="shared" si="9"/>
        <v>283</v>
      </c>
      <c r="B284" s="22" t="s">
        <v>204</v>
      </c>
      <c r="C284" s="22" t="s">
        <v>393</v>
      </c>
      <c r="D284" s="12" t="s">
        <v>143</v>
      </c>
      <c r="E284" s="22" t="s">
        <v>53</v>
      </c>
      <c r="F284" s="22" t="s">
        <v>136</v>
      </c>
      <c r="G284" s="22" t="s">
        <v>441</v>
      </c>
      <c r="H284" s="22" t="s">
        <v>543</v>
      </c>
      <c r="I284" s="51" t="str">
        <f t="shared" si="8"/>
        <v>대구</v>
      </c>
      <c r="J284" s="51" t="s">
        <v>564</v>
      </c>
      <c r="K284" s="20" t="s">
        <v>105</v>
      </c>
      <c r="L284" s="26" t="s">
        <v>221</v>
      </c>
      <c r="M284" s="22" t="s">
        <v>110</v>
      </c>
      <c r="N284" s="195">
        <v>44025</v>
      </c>
      <c r="O284" s="196">
        <v>43810</v>
      </c>
      <c r="P284" s="196" t="s">
        <v>1233</v>
      </c>
      <c r="Q284" s="12" t="s">
        <v>77</v>
      </c>
      <c r="R284" s="379" t="s">
        <v>138</v>
      </c>
      <c r="S284" s="383" t="s">
        <v>1237</v>
      </c>
      <c r="T284" s="191">
        <v>700</v>
      </c>
      <c r="U284" s="386">
        <v>1</v>
      </c>
      <c r="V284" s="389"/>
      <c r="W284" s="7"/>
      <c r="X284" s="7" t="s">
        <v>1482</v>
      </c>
      <c r="Y284" s="88"/>
      <c r="Z284" s="7" t="s">
        <v>2150</v>
      </c>
      <c r="AA284" s="47" t="s">
        <v>1771</v>
      </c>
      <c r="AB284" s="47" t="s">
        <v>1770</v>
      </c>
      <c r="AC284" s="47" t="s">
        <v>1923</v>
      </c>
      <c r="AD284" s="47" t="s">
        <v>1920</v>
      </c>
      <c r="AE284" s="47"/>
      <c r="AF284" s="8" t="s">
        <v>2227</v>
      </c>
      <c r="AG284" s="88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</row>
    <row r="285" spans="1:89">
      <c r="Z285" s="46">
        <f>COUNTIF(Z2:Z284,"통신장애")</f>
        <v>152</v>
      </c>
    </row>
  </sheetData>
  <autoFilter ref="A1:AG285" xr:uid="{00000000-0001-0000-0000-000000000000}">
    <sortState xmlns:xlrd2="http://schemas.microsoft.com/office/spreadsheetml/2017/richdata2" ref="A2:AG285">
      <sortCondition ref="A1:A285"/>
    </sortState>
  </autoFilter>
  <phoneticPr fontId="1" type="noConversion"/>
  <conditionalFormatting sqref="Z1:Z1048576">
    <cfRule type="cellIs" dxfId="2" priority="1" operator="equal">
      <formula>"통신장애 (액)"</formula>
    </cfRule>
    <cfRule type="cellIs" dxfId="1" priority="2" operator="equal">
      <formula>"152$Z$32"</formula>
    </cfRule>
    <cfRule type="cellIs" dxfId="0" priority="3" operator="equal">
      <formula>"통신장애"</formula>
    </cfRule>
  </conditionalFormatting>
  <pageMargins left="0.25" right="0.25" top="0.75" bottom="0.75" header="0.3" footer="0.3"/>
  <pageSetup paperSize="9" scale="2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HaYeon Gwon</cp:lastModifiedBy>
  <cp:lastPrinted>2025-01-07T08:37:13Z</cp:lastPrinted>
  <dcterms:created xsi:type="dcterms:W3CDTF">2019-06-21T06:19:22Z</dcterms:created>
  <dcterms:modified xsi:type="dcterms:W3CDTF">2026-10-25T08:25:55Z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>0</vt:lpwstr>
  </property>
  <property fmtid="{D5CDD505-2E9C-101B-9397-08002B2CF9AE}" pid="3" name="FDRSet">
    <vt:lpwstr>manual</vt:lpwstr>
  </property>
</Properties>
</file>